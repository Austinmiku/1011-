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34e577ac5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題庫總覽" sheetId="1" r:id="Rdeabf03b73d64268"/>
    <x:sheet xmlns:r="http://schemas.openxmlformats.org/officeDocument/2006/relationships" name="完整題庫" sheetId="2" r:id="Re112fc12fb38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1D2530"/>
      <x:name val="Carlito"/>
    </x:font>
    <x:font>
      <x:sz val="11"/>
      <x:color rgb="FF243746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  <x:font>
      <x:sz val="10"/>
      <x:color rgb="FF2437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8E8"/>
      </x:patternFill>
    </x:fill>
    <x:fill>
      <x:patternFill patternType="solid">
        <x:fgColor rgb="FFD29B36"/>
      </x:patternFill>
    </x:fill>
    <x:fill>
      <x:patternFill patternType="solid">
        <x:fgColor rgb="FFFFFFFF"/>
      </x:patternFill>
    </x:fill>
    <x:fill>
      <x:patternFill patternType="solid">
        <x:fgColor rgb="FFDFF2E4"/>
      </x:patternFill>
    </x:fill>
    <x:fill>
      <x:patternFill patternType="solid">
        <x:fgColor rgb="FFEAF3F7"/>
      </x:patternFill>
    </x:fill>
  </x:fills>
  <x:borders count="4">
    <x:border>
      <x:left/>
      <x:right/>
      <x:top/>
      <x:bottom/>
      <x:diagonal/>
    </x:border>
    <x:border>
      <x:left style="thin">
        <x:color rgb="FFD8C79E"/>
      </x:left>
      <x:right style="thin">
        <x:color rgb="FFD8C79E"/>
      </x:right>
      <x:top style="thin">
        <x:color rgb="FFD8C79E"/>
      </x:top>
      <x:bottom style="thin">
        <x:color rgb="FFD8C79E"/>
      </x:bottom>
      <x:diagonal/>
    </x:border>
    <x:border>
      <x:left style="thin">
        <x:color rgb="FF8D6A2C"/>
      </x:left>
      <x:right style="thin">
        <x:color rgb="FF8D6A2C"/>
      </x:right>
      <x:top style="thin">
        <x:color rgb="FF8D6A2C"/>
      </x:top>
      <x:bottom style="thin">
        <x:color rgb="FF8D6A2C"/>
      </x:bottom>
      <x:diagonal/>
    </x:border>
    <x:border>
      <x:left style="thin">
        <x:color rgb="FFE0D5BC"/>
      </x:left>
      <x:right style="thin">
        <x:color rgb="FFE0D5BC"/>
      </x:right>
      <x:top style="thin">
        <x:color rgb="FFE0D5BC"/>
      </x:top>
      <x:bottom style="thin">
        <x:color rgb="FFE0D5BC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ca5eebc364fcb" /><Relationship Type="http://schemas.openxmlformats.org/officeDocument/2006/relationships/theme" Target="/xl/theme/theme1.xml" Id="Re76b019c8ed94912" /><Relationship Type="http://schemas.openxmlformats.org/officeDocument/2006/relationships/sharedStrings" Target="/xl/sharedStrings.xml" Id="R0e29d40673794fab" /><Relationship Type="http://schemas.openxmlformats.org/officeDocument/2006/relationships/worksheet" Target="/xl/worksheets/sheet1.xml" Id="Rdeabf03b73d64268" /><Relationship Type="http://schemas.openxmlformats.org/officeDocument/2006/relationships/worksheet" Target="/xl/worksheets/sheet2.xml" Id="Re112fc12fb38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9" hidden="0" customWidth="1"/>
    <x:col min="4" max="4" width="28" hidden="0" customWidth="1"/>
    <x:col min="5" max="5" width="12" hidden="0" customWidth="1"/>
    <x:col min="6" max="6" width="12" hidden="0" customWidth="1"/>
  </x:cols>
  <x:sheetData>
    <x:row r="1" ht="36" customHeight="1">
      <x:c r="A1" s="4" t="str">
        <x:v>歷史文物守護行動｜五年級社會完整題庫</x:v>
      </x:c>
      <x:c r="B1" s="4"/>
      <x:c r="C1" s="4"/>
      <x:c r="D1" s="4"/>
      <x:c r="E1" s="4"/>
      <x:c r="F1" s="4"/>
    </x:row>
    <x:row r="2" ht="42" customHeight="1">
      <x:c r="A2" s="8" t="str">
        <x:v>8 個單元 × 每單元 15 題｜考卷原題、逐項回饋、課本解析與來源追溯</x:v>
      </x:c>
      <x:c r="B2" s="8"/>
      <x:c r="C2" s="8"/>
      <x:c r="D2" s="8"/>
      <x:c r="E2" s="8"/>
      <x:c r="F2" s="8"/>
    </x:row>
    <x:row r="3" ht="24" customHeight="1"/>
    <x:row r="4" ht="24" customHeight="1">
      <x:c r="A4" s="13" t="str">
        <x:v>單元代碼</x:v>
      </x:c>
      <x:c r="B4" s="13" t="str">
        <x:v>學期</x:v>
      </x:c>
      <x:c r="C4" s="13" t="str">
        <x:v>單元</x:v>
      </x:c>
      <x:c r="D4" s="13" t="str">
        <x:v>單元名稱</x:v>
      </x:c>
      <x:c r="E4" s="13" t="str">
        <x:v>題數檢查</x:v>
      </x:c>
      <x:c r="F4" s="13" t="str">
        <x:v>狀態</x:v>
      </x:c>
    </x:row>
    <x:row r="5" ht="24" customHeight="1">
      <x:c r="A5" s="18" t="str">
        <x:v>5A-U1</x:v>
      </x:c>
      <x:c r="B5" s="18" t="str">
        <x:v>五上</x:v>
      </x:c>
      <x:c r="C5" s="18" t="n">
        <x:v>1</x:v>
      </x:c>
      <x:c r="D5" s="18" t="str">
        <x:v>臺灣！我來了</x:v>
      </x:c>
      <x:c r="E5" s="18" t="n">
        <x:f>COUNTIF('完整題庫'!$A$5:$A$124,A5)</x:f>
        <x:v>15</x:v>
      </x:c>
      <x:c r="F5" s="18" t="str">
        <x:f>IF(E5=15,"通過","請檢查")</x:f>
        <x:v>通過</x:v>
      </x:c>
    </x:row>
    <x:row r="6" ht="24" customHeight="1">
      <x:c r="A6" s="18" t="str">
        <x:v>5A-U2</x:v>
      </x:c>
      <x:c r="B6" s="18" t="str">
        <x:v>五上</x:v>
      </x:c>
      <x:c r="C6" s="18" t="n">
        <x:v>2</x:v>
      </x:c>
      <x:c r="D6" s="18" t="str">
        <x:v>島嶼上的生活樣貌</x:v>
      </x:c>
      <x:c r="E6" s="18" t="n">
        <x:f>COUNTIF('完整題庫'!$A$5:$A$124,A6)</x:f>
        <x:v>15</x:v>
      </x:c>
      <x:c r="F6" s="18" t="str">
        <x:f>IF(E6=15,"通過","請檢查")</x:f>
        <x:v>通過</x:v>
      </x:c>
    </x:row>
    <x:row r="7" ht="24" customHeight="1">
      <x:c r="A7" s="18" t="str">
        <x:v>5A-U3</x:v>
      </x:c>
      <x:c r="B7" s="18" t="str">
        <x:v>五上</x:v>
      </x:c>
      <x:c r="C7" s="18" t="n">
        <x:v>3</x:v>
      </x:c>
      <x:c r="D7" s="18" t="str">
        <x:v>臺灣的物產資源</x:v>
      </x:c>
      <x:c r="E7" s="18" t="n">
        <x:f>COUNTIF('完整題庫'!$A$5:$A$124,A7)</x:f>
        <x:v>15</x:v>
      </x:c>
      <x:c r="F7" s="18" t="str">
        <x:f>IF(E7=15,"通過","請檢查")</x:f>
        <x:v>通過</x:v>
      </x:c>
    </x:row>
    <x:row r="8" ht="24" customHeight="1">
      <x:c r="A8" s="18" t="str">
        <x:v>5A-U4</x:v>
      </x:c>
      <x:c r="B8" s="18" t="str">
        <x:v>五上</x:v>
      </x:c>
      <x:c r="C8" s="18" t="n">
        <x:v>4</x:v>
      </x:c>
      <x:c r="D8" s="18" t="str">
        <x:v>看見福爾摩沙</x:v>
      </x:c>
      <x:c r="E8" s="18" t="n">
        <x:f>COUNTIF('完整題庫'!$A$5:$A$124,A8)</x:f>
        <x:v>15</x:v>
      </x:c>
      <x:c r="F8" s="18" t="str">
        <x:f>IF(E8=15,"通過","請檢查")</x:f>
        <x:v>通過</x:v>
      </x:c>
    </x:row>
    <x:row r="9" ht="24" customHeight="1">
      <x:c r="A9" s="18" t="str">
        <x:v>5B-U1</x:v>
      </x:c>
      <x:c r="B9" s="18" t="str">
        <x:v>五下</x:v>
      </x:c>
      <x:c r="C9" s="18" t="n">
        <x:v>1</x:v>
      </x:c>
      <x:c r="D9" s="18" t="str">
        <x:v>唐山到臺灣</x:v>
      </x:c>
      <x:c r="E9" s="18" t="n">
        <x:f>COUNTIF('完整題庫'!$A$5:$A$124,A9)</x:f>
        <x:v>15</x:v>
      </x:c>
      <x:c r="F9" s="18" t="str">
        <x:f>IF(E9=15,"通過","請檢查")</x:f>
        <x:v>通過</x:v>
      </x:c>
    </x:row>
    <x:row r="10" ht="24" customHeight="1">
      <x:c r="A10" s="18" t="str">
        <x:v>5B-U2</x:v>
      </x:c>
      <x:c r="B10" s="18" t="str">
        <x:v>五下</x:v>
      </x:c>
      <x:c r="C10" s="18" t="n">
        <x:v>2</x:v>
      </x:c>
      <x:c r="D10" s="18" t="str">
        <x:v>開港通商後的臺灣</x:v>
      </x:c>
      <x:c r="E10" s="18" t="n">
        <x:f>COUNTIF('完整題庫'!$A$5:$A$124,A10)</x:f>
        <x:v>15</x:v>
      </x:c>
      <x:c r="F10" s="18" t="str">
        <x:f>IF(E10=15,"通過","請檢查")</x:f>
        <x:v>通過</x:v>
      </x:c>
    </x:row>
    <x:row r="11" ht="24" customHeight="1">
      <x:c r="A11" s="18" t="str">
        <x:v>5B-U3</x:v>
      </x:c>
      <x:c r="B11" s="18" t="str">
        <x:v>五下</x:v>
      </x:c>
      <x:c r="C11" s="18" t="n">
        <x:v>3</x:v>
      </x:c>
      <x:c r="D11" s="18" t="str">
        <x:v>臺灣電力的發展</x:v>
      </x:c>
      <x:c r="E11" s="18" t="n">
        <x:f>COUNTIF('完整題庫'!$A$5:$A$124,A11)</x:f>
        <x:v>15</x:v>
      </x:c>
      <x:c r="F11" s="18" t="str">
        <x:f>IF(E11=15,"通過","請檢查")</x:f>
        <x:v>通過</x:v>
      </x:c>
    </x:row>
    <x:row r="12" ht="24" customHeight="1">
      <x:c r="A12" s="18" t="str">
        <x:v>5B-U4</x:v>
      </x:c>
      <x:c r="B12" s="18" t="str">
        <x:v>五下</x:v>
      </x:c>
      <x:c r="C12" s="18" t="n">
        <x:v>4</x:v>
      </x:c>
      <x:c r="D12" s="18" t="str">
        <x:v>經濟與生活</x:v>
      </x:c>
      <x:c r="E12" s="18" t="n">
        <x:f>COUNTIF('完整題庫'!$A$5:$A$124,A12)</x:f>
        <x:v>15</x:v>
      </x:c>
      <x:c r="F12" s="18" t="str">
        <x:f>IF(E12=15,"通過","請檢查")</x:f>
        <x:v>通過</x:v>
      </x:c>
    </x:row>
    <x:row r="13" ht="24" customHeight="1"/>
    <x:row r="14" ht="24" customHeight="1">
      <x:c r="A14" s="21" t="str">
        <x:v>總題數</x:v>
      </x:c>
      <x:c r="B14" s="21" t="str"/>
      <x:c r="C14" s="21" t="str"/>
      <x:c r="D14" s="21" t="str"/>
      <x:c r="E14" s="21" t="n">
        <x:f>SUM(E5:E12)</x:f>
        <x:v>120</x:v>
      </x:c>
      <x:c r="F14" s="21" t="str">
        <x:f>IF(E14=120,"通過","請檢查")</x:f>
        <x:v>通過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8" ySplit="4" topLeftCell="I5" activePane="bottomRight" state="frozen"/>
    </x:sheetView>
  </x:sheetViews>
  <x:sheetFormatPr defaultRowHeight="15"/>
  <x:cols>
    <x:col min="1" max="1" width="14" hidden="0" customWidth="1"/>
    <x:col min="2" max="2" width="7" hidden="0" customWidth="1"/>
    <x:col min="3" max="3" width="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2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12" hidden="0" customWidth="1"/>
    <x:col min="14" max="14" width="12" hidden="0" customWidth="1"/>
    <x:col min="15" max="15" width="34" hidden="0" customWidth="1"/>
    <x:col min="16" max="16" width="34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42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35" hidden="0" customWidth="1"/>
    <x:col min="33" max="33" width="15" hidden="0" customWidth="1"/>
    <x:col min="34" max="34" width="52" hidden="0" customWidth="1"/>
    <x:col min="35" max="35" width="12" hidden="0" customWidth="1"/>
  </x:cols>
  <x:sheetData>
    <x:row r="1" ht="34" customHeight="1">
      <x:c r="A1" s="24" t="str">
        <x:v>歷史文物守護行動｜完整題庫（由遊戲題庫同步產生）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</x:row>
    <x:row r="2" ht="42" customHeight="1">
      <x:c r="A2" s="26" t="str">
        <x:v>題目與選項取自月考卷 A、月考卷 B、隨堂卷；欄位保留來源檔名與題號。遊戲會隨機排列答案位置。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</x:row>
    <x:row r="4" ht="46" customHeight="1">
      <x:c r="A4" s="30" t="str">
        <x:v>單元代碼</x:v>
      </x:c>
      <x:c r="B4" s="30" t="str">
        <x:v>學期</x:v>
      </x:c>
      <x:c r="C4" s="30" t="str">
        <x:v>單元</x:v>
      </x:c>
      <x:c r="D4" s="30" t="str">
        <x:v>單元名稱</x:v>
      </x:c>
      <x:c r="E4" s="30" t="str">
        <x:v>學習目標代碼</x:v>
      </x:c>
      <x:c r="F4" s="30" t="str">
        <x:v>題號</x:v>
      </x:c>
      <x:c r="G4" s="30" t="str">
        <x:v>題型</x:v>
      </x:c>
      <x:c r="H4" s="30" t="str">
        <x:v>題目</x:v>
      </x:c>
      <x:c r="I4" s="30" t="str">
        <x:v>選項 A</x:v>
      </x:c>
      <x:c r="J4" s="30" t="str">
        <x:v>選項 B</x:v>
      </x:c>
      <x:c r="K4" s="30" t="str">
        <x:v>選項 C</x:v>
      </x:c>
      <x:c r="L4" s="30" t="str">
        <x:v>選項 D</x:v>
      </x:c>
      <x:c r="M4" s="30" t="str">
        <x:v>正確選項</x:v>
      </x:c>
      <x:c r="N4" s="30" t="str">
        <x:v>正確答案</x:v>
      </x:c>
      <x:c r="O4" s="30" t="str">
        <x:v>提示</x:v>
      </x:c>
      <x:c r="P4" s="30" t="str">
        <x:v>答案解析</x:v>
      </x:c>
      <x:c r="Q4" s="30" t="str">
        <x:v>A 回饋</x:v>
      </x:c>
      <x:c r="R4" s="30" t="str">
        <x:v>B 回饋</x:v>
      </x:c>
      <x:c r="S4" s="30" t="str">
        <x:v>C 回饋</x:v>
      </x:c>
      <x:c r="T4" s="30" t="str">
        <x:v>D 回饋</x:v>
      </x:c>
      <x:c r="U4" s="30" t="str">
        <x:v>A 迷思</x:v>
      </x:c>
      <x:c r="V4" s="30" t="str">
        <x:v>B 迷思</x:v>
      </x:c>
      <x:c r="W4" s="30" t="str">
        <x:v>C 迷思</x:v>
      </x:c>
      <x:c r="X4" s="30" t="str">
        <x:v>D 迷思</x:v>
      </x:c>
      <x:c r="Y4" s="30" t="str">
        <x:v>證據 A</x:v>
      </x:c>
      <x:c r="Z4" s="30" t="str">
        <x:v>證據 B</x:v>
      </x:c>
      <x:c r="AA4" s="30" t="str">
        <x:v>證據 C</x:v>
      </x:c>
      <x:c r="AB4" s="30" t="str">
        <x:v>證據正解</x:v>
      </x:c>
      <x:c r="AC4" s="30" t="str">
        <x:v>證據 A 回饋</x:v>
      </x:c>
      <x:c r="AD4" s="30" t="str">
        <x:v>證據 B 回饋</x:v>
      </x:c>
      <x:c r="AE4" s="30" t="str">
        <x:v>證據 C 回饋</x:v>
      </x:c>
      <x:c r="AF4" s="30" t="str">
        <x:v>遷移情境</x:v>
      </x:c>
      <x:c r="AG4" s="30" t="str">
        <x:v>來源卷別</x:v>
      </x:c>
      <x:c r="AH4" s="30" t="str">
        <x:v>來源檔案</x:v>
      </x:c>
      <x:c r="AI4" s="30" t="str">
        <x:v>來源題號</x:v>
      </x:c>
    </x:row>
    <x:row r="5" ht="76" customHeight="1">
      <x:c r="A5" s="34" t="str">
        <x:v>5A-U1</x:v>
      </x:c>
      <x:c r="B5" s="34" t="str">
        <x:v>五上</x:v>
      </x:c>
      <x:c r="C5" s="34" t="n">
        <x:v>1</x:v>
      </x:c>
      <x:c r="D5" s="34" t="str">
        <x:v>臺灣！我來了</x:v>
      </x:c>
      <x:c r="E5" s="34" t="str">
        <x:v>5A-U1-PAPER</x:v>
      </x:c>
      <x:c r="F5" s="34" t="n">
        <x:v>1</x:v>
      </x:c>
      <x:c r="G5" s="34" t="str">
        <x:v>隨堂卷</x:v>
      </x:c>
      <x:c r="H5" s="34" t="str">
        <x:v>臺灣島浮出海面，與下列哪一個板塊的活動較有關？</x:v>
      </x:c>
      <x:c r="I5" s="34" t="str">
        <x:v>太平洋板塊</x:v>
      </x:c>
      <x:c r="J5" s="34" t="str">
        <x:v>非洲板塊</x:v>
      </x:c>
      <x:c r="K5" s="34" t="str">
        <x:v>歐亞板塊</x:v>
      </x:c>
      <x:c r="L5" s="34" t="str">
        <x:v>南極板塊</x:v>
      </x:c>
      <x:c r="M5" s="34" t="str">
        <x:v>C</x:v>
      </x:c>
      <x:c r="N5" s="34" t="str">
        <x:v>歐亞板塊</x:v>
      </x:c>
      <x:c r="O5" s="34" t="str">
        <x:v>抓住題幹的關鍵詞，再比較每個選項和課本內容是否相符。</x:v>
      </x:c>
      <x:c r="P5" s="34" t="str">
        <x:v>關鍵答案是「歐亞板塊」。臺灣位在歐亞板塊與菲律賓海板塊交界附近，板塊推擠形成多山地形，也使地震頻繁。</x:v>
      </x:c>
      <x:c r="Q5" s="34" t="str">
        <x:v>「太平洋板塊」沒有符合題幹限定的條件。正確方向是「歐亞板塊」；臺灣位在歐亞板塊與菲律賓海板塊交界附近，板塊推擠形成多山地形，也使地震頻繁。</x:v>
      </x:c>
      <x:c r="R5" s="34" t="str">
        <x:v>先不要選「非洲板塊」。把人物、地點或概念重新配對後，應是「歐亞板塊」。臺灣位在歐亞板塊與菲律賓海板塊交界附近，板塊推擠形成多山地形，也使地震頻繁。</x:v>
      </x:c>
      <x:c r="S5" s="34" t="str">
        <x:v>答對了，「歐亞板塊」和題幹線索相符。臺灣位在歐亞板塊與菲律賓海板塊交界附近，板塊推擠形成多山地形，也使地震頻繁。</x:v>
      </x:c>
      <x:c r="T5" s="34" t="str">
        <x:v>這題不是在找「南極板塊」。對照課本後，「歐亞板塊」才符合題意。臺灣位在歐亞板塊與菲律賓海板塊交界附近，板塊推擠形成多山地形，也使地震頻繁。</x:v>
      </x:c>
      <x:c r="U5" s="34" t="str">
        <x:v>題幹條件配對錯誤</x:v>
      </x:c>
      <x:c r="V5" s="34" t="str">
        <x:v>題幹條件配對錯誤</x:v>
      </x:c>
      <x:c r="W5" s="34" t="str">
        <x:v>判斷正確</x:v>
      </x:c>
      <x:c r="X5" s="34" t="str">
        <x:v>題幹條件配對錯誤</x:v>
      </x:c>
      <x:c r="Y5" s="34" t="str">
        <x:v>臺灣位在歐亞板塊與菲律賓海板塊交界附近，板塊推擠形成多山地形，也使地震頻繁。</x:v>
      </x:c>
      <x:c r="Z5" s="34" t="str">
        <x:v>法律由國家制定並具有強制力，可維持秩序、保障權利；少年事件處理法重視未成年人的健全成長。</x:v>
      </x:c>
      <x:c r="AA5" s="34" t="str">
        <x:v>社會規範包括風俗、倫理道德、宗教信仰與法律，不同規範的形成方式和強制力並不相同。</x:v>
      </x:c>
      <x:c r="AB5" s="34" t="str">
        <x:v>A</x:v>
      </x:c>
      <x:c r="AC5" s="34" t="str">
        <x:v>這項說明能直接支持「歐亞板塊」，也補上題目背後的課本知識。</x:v>
      </x:c>
      <x:c r="AD5" s="34" t="str">
        <x:v>這項知識本身可能正確，但屬於其他單元，不能用來證明本題答案。</x:v>
      </x:c>
      <x:c r="AE5" s="34" t="str">
        <x:v>這段資料談的是另一個主題，和目前題幹缺少直接關係。</x:v>
      </x:c>
      <x:c r="AF5" s="34" t="str">
        <x:v>回到課本地圖、時間線或表格，找出能再次驗證這個答案的資料。</x:v>
      </x:c>
      <x:c r="AG5" s="34" t="str">
        <x:v>隨堂卷</x:v>
      </x:c>
      <x:c r="AH5" s="34" t="str">
        <x:v>01_5上社會隨堂卷_第一單元臺灣！我來了_教用_.pdf</x:v>
      </x:c>
      <x:c r="AI5" s="34" t="n">
        <x:v>1</x:v>
      </x:c>
    </x:row>
    <x:row r="6" ht="76" customHeight="1">
      <x:c r="A6" s="34" t="str">
        <x:v>5A-U1</x:v>
      </x:c>
      <x:c r="B6" s="34" t="str">
        <x:v>五上</x:v>
      </x:c>
      <x:c r="C6" s="34" t="n">
        <x:v>1</x:v>
      </x:c>
      <x:c r="D6" s="34" t="str">
        <x:v>臺灣！我來了</x:v>
      </x:c>
      <x:c r="E6" s="34" t="str">
        <x:v>5A-U1-PAPER</x:v>
      </x:c>
      <x:c r="F6" s="34" t="n">
        <x:v>2</x:v>
      </x:c>
      <x:c r="G6" s="34" t="str">
        <x:v>月考卷A</x:v>
      </x:c>
      <x:c r="H6" s="34" t="str">
        <x:v>下列哪一項原因，導致臺灣島地震頻繁發生，且高度持續增加？</x:v>
      </x:c>
      <x:c r="I6" s="34" t="str">
        <x:v>板塊推擠</x:v>
      </x:c>
      <x:c r="J6" s="34" t="str">
        <x:v>颱風頻繁</x:v>
      </x:c>
      <x:c r="K6" s="34" t="str">
        <x:v>海流改變</x:v>
      </x:c>
      <x:c r="L6" s="34" t="str">
        <x:v>人口過多</x:v>
      </x:c>
      <x:c r="M6" s="34" t="str">
        <x:v>A</x:v>
      </x:c>
      <x:c r="N6" s="34" t="str">
        <x:v>板塊推擠</x:v>
      </x:c>
      <x:c r="O6" s="34" t="str">
        <x:v>找出題幹中的原因與結果，檢查兩者是否能連起來。</x:v>
      </x:c>
      <x:c r="P6" s="34" t="str">
        <x:v>依課本內容，這題應選「板塊推擠」。臺灣位在歐亞板塊與菲律賓海板塊交界附近，板塊推擠形成多山地形，也使地震頻繁。</x:v>
      </x:c>
      <x:c r="Q6" s="34" t="str">
        <x:v>判斷正確！你找到了「板塊推擠」這個關鍵。臺灣位在歐亞板塊與菲律賓海板塊交界附近，板塊推擠形成多山地形，也使地震頻繁。</x:v>
      </x:c>
      <x:c r="R6" s="34" t="str">
        <x:v>「颱風頻繁」是干擾資料，和本題線索對不上；請改從「板塊推擠」思考。臺灣位在歐亞板塊與菲律賓海板塊交界附近，板塊推擠形成多山地形，也使地震頻繁。</x:v>
      </x:c>
      <x:c r="S6" s="34" t="str">
        <x:v>這題不是在找「海流改變」。對照課本後，「板塊推擠」才符合題意。臺灣位在歐亞板塊與菲律賓海板塊交界附近，板塊推擠形成多山地形，也使地震頻繁。</x:v>
      </x:c>
      <x:c r="T6" s="34" t="str">
        <x:v>選項「人口過多」混入了不同背景的資料。回看題幹，應選「板塊推擠」。臺灣位在歐亞板塊與菲律賓海板塊交界附近，板塊推擠形成多山地形，也使地震頻繁。</x:v>
      </x:c>
      <x:c r="U6" s="34" t="str">
        <x:v>判斷正確</x:v>
      </x:c>
      <x:c r="V6" s="34" t="str">
        <x:v>題幹條件配對錯誤</x:v>
      </x:c>
      <x:c r="W6" s="34" t="str">
        <x:v>題幹條件配對錯誤</x:v>
      </x:c>
      <x:c r="X6" s="34" t="str">
        <x:v>題幹條件配對錯誤</x:v>
      </x:c>
      <x:c r="Y6" s="34" t="str">
        <x:v>臺灣位在歐亞板塊與菲律賓海板塊交界附近，板塊推擠形成多山地形，也使地震頻繁。</x:v>
      </x:c>
      <x:c r="Z6" s="34" t="str">
        <x:v>阿美族傳統社會具有母系特色，家族與財產傳承常以女性為重要核心。</x:v>
      </x:c>
      <x:c r="AA6" s="34" t="str">
        <x:v>社會規範包括風俗、倫理道德、宗教信仰與法律，不同規範的形成方式和強制力並不相同。</x:v>
      </x:c>
      <x:c r="AB6" s="34" t="str">
        <x:v>A</x:v>
      </x:c>
      <x:c r="AC6" s="34" t="str">
        <x:v>這項說明能直接支持「板塊推擠」，也補上題目背後的課本知識。</x:v>
      </x:c>
      <x:c r="AD6" s="34" t="str">
        <x:v>這項知識本身可能正確，但屬於其他單元，不能用來證明本題答案。</x:v>
      </x:c>
      <x:c r="AE6" s="34" t="str">
        <x:v>這段資料談的是另一個主題，和目前題幹缺少直接關係。</x:v>
      </x:c>
      <x:c r="AF6" s="34" t="str">
        <x:v>回到課本地圖、時間線或表格，找出能再次驗證這個答案的資料。</x:v>
      </x:c>
      <x:c r="AG6" s="34" t="str">
        <x:v>月考卷A</x:v>
      </x:c>
      <x:c r="AH6" s="34" t="str">
        <x:v>A01_5上社會月考卷_第一單元_教用_.pdf</x:v>
      </x:c>
      <x:c r="AI6" s="34" t="n">
        <x:v>1</x:v>
      </x:c>
    </x:row>
    <x:row r="7" ht="76" customHeight="1">
      <x:c r="A7" s="34" t="str">
        <x:v>5A-U1</x:v>
      </x:c>
      <x:c r="B7" s="34" t="str">
        <x:v>五上</x:v>
      </x:c>
      <x:c r="C7" s="34" t="n">
        <x:v>1</x:v>
      </x:c>
      <x:c r="D7" s="34" t="str">
        <x:v>臺灣！我來了</x:v>
      </x:c>
      <x:c r="E7" s="34" t="str">
        <x:v>5A-U1-PAPER</x:v>
      </x:c>
      <x:c r="F7" s="34" t="n">
        <x:v>3</x:v>
      </x:c>
      <x:c r="G7" s="34" t="str">
        <x:v>月考卷B</x:v>
      </x:c>
      <x:c r="H7" s="34" t="str">
        <x:v>阿野是生活在八仙洞遺址的史前居民，他較可能居住在下列哪一個地方？</x:v>
      </x:c>
      <x:c r="I7" s="34" t="str">
        <x:v>架高的干欄式住屋</x:v>
      </x:c>
      <x:c r="J7" s="34" t="str">
        <x:v>利用木材和石柱搭建的房舍</x:v>
      </x:c>
      <x:c r="K7" s="34" t="str">
        <x:v>以磚瓦興建的三合院</x:v>
      </x:c>
      <x:c r="L7" s="34" t="str">
        <x:v>天然形成的洞穴</x:v>
      </x:c>
      <x:c r="M7" s="34" t="str">
        <x:v>D</x:v>
      </x:c>
      <x:c r="N7" s="34" t="str">
        <x:v>天然形成的洞穴</x:v>
      </x:c>
      <x:c r="O7" s="34" t="str">
        <x:v>抓住題幹的關鍵詞，再比較每個選項和課本內容是否相符。</x:v>
      </x:c>
      <x:c r="P7" s="34" t="str">
        <x:v>把題幹線索和課本資料對照，可找到「天然形成的洞穴」。八仙洞遺址可見舊石器時代的生活線索，當時人們主要採集、狩獵，尚未發展農耕定居。</x:v>
      </x:c>
      <x:c r="Q7" s="34" t="str">
        <x:v>「架高的干欄式住屋」是干擾資料，和本題線索對不上；請改從「天然形成的洞穴」思考。八仙洞遺址可見舊石器時代的生活線索，當時人們主要採集、狩獵，尚未發展農耕定居。</x:v>
      </x:c>
      <x:c r="R7" s="34" t="str">
        <x:v>這題不是在找「利用木材和石柱搭建的房舍」。對照課本後，「天然形成的洞穴」才符合題意。八仙洞遺址可見舊石器時代的生活線索，當時人們主要採集、狩獵，尚未發展農耕定居。</x:v>
      </x:c>
      <x:c r="S7" s="34" t="str">
        <x:v>選項「以磚瓦興建的三合院」混入了不同背景的資料。回看題幹，應選「天然形成的洞穴」。八仙洞遺址可見舊石器時代的生活線索，當時人們主要採集、狩獵，尚未發展農耕定居。</x:v>
      </x:c>
      <x:c r="T7" s="34" t="str">
        <x:v>沒錯，課本中的相關資料支持「天然形成的洞穴」。八仙洞遺址可見舊石器時代的生活線索，當時人們主要採集、狩獵，尚未發展農耕定居。</x:v>
      </x:c>
      <x:c r="U7" s="34" t="str">
        <x:v>題幹條件配對錯誤</x:v>
      </x:c>
      <x:c r="V7" s="34" t="str">
        <x:v>題幹條件配對錯誤</x:v>
      </x:c>
      <x:c r="W7" s="34" t="str">
        <x:v>題幹條件配對錯誤</x:v>
      </x:c>
      <x:c r="X7" s="34" t="str">
        <x:v>判斷正確</x:v>
      </x:c>
      <x:c r="Y7" s="34" t="str">
        <x:v>八仙洞遺址可見舊石器時代的生活線索，當時人們主要採集、狩獵，尚未發展農耕定居。</x:v>
      </x:c>
      <x:c r="Z7" s="34" t="str">
        <x:v>法律由國家制定並具有強制力，可維持秩序、保障權利；少年事件處理法重視未成年人的健全成長。</x:v>
      </x:c>
      <x:c r="AA7" s="34" t="str">
        <x:v>臺灣周邊海流交會，帶來多樣漁業資源；過度捕撈會使魚群減少，因此需要適當的取用與管理。</x:v>
      </x:c>
      <x:c r="AB7" s="34" t="str">
        <x:v>A</x:v>
      </x:c>
      <x:c r="AC7" s="34" t="str">
        <x:v>這項說明能直接支持「天然形成的洞穴」，也補上題目背後的課本知識。</x:v>
      </x:c>
      <x:c r="AD7" s="34" t="str">
        <x:v>這項知識本身可能正確，但屬於其他單元，不能用來證明本題答案。</x:v>
      </x:c>
      <x:c r="AE7" s="34" t="str">
        <x:v>這段資料談的是另一個主題，和目前題幹缺少直接關係。</x:v>
      </x:c>
      <x:c r="AF7" s="34" t="str">
        <x:v>回到課本地圖、時間線或表格，找出能再次驗證這個答案的資料。</x:v>
      </x:c>
      <x:c r="AG7" s="34" t="str">
        <x:v>月考卷B</x:v>
      </x:c>
      <x:c r="AH7" s="34" t="str">
        <x:v>B01_5上社會月考卷_第一單元_教用_.pdf</x:v>
      </x:c>
      <x:c r="AI7" s="34" t="n">
        <x:v>1</x:v>
      </x:c>
    </x:row>
    <x:row r="8" ht="76" customHeight="1">
      <x:c r="A8" s="34" t="str">
        <x:v>5A-U1</x:v>
      </x:c>
      <x:c r="B8" s="34" t="str">
        <x:v>五上</x:v>
      </x:c>
      <x:c r="C8" s="34" t="n">
        <x:v>1</x:v>
      </x:c>
      <x:c r="D8" s="34" t="str">
        <x:v>臺灣！我來了</x:v>
      </x:c>
      <x:c r="E8" s="34" t="str">
        <x:v>5A-U1-PAPER</x:v>
      </x:c>
      <x:c r="F8" s="34" t="n">
        <x:v>4</x:v>
      </x:c>
      <x:c r="G8" s="34" t="str">
        <x:v>隨堂卷</x:v>
      </x:c>
      <x:c r="H8" s="34" t="str">
        <x:v>有關臺灣島的敘述，下列哪一項錯誤？</x:v>
      </x:c>
      <x:c r="I8" s="34" t="str">
        <x:v>南北長</x:v>
      </x:c>
      <x:c r="J8" s="34" t="str">
        <x:v>東西窄</x:v>
      </x:c>
      <x:c r="K8" s="34" t="str">
        <x:v>海岸線短</x:v>
      </x:c>
      <x:c r="L8" s="34" t="str">
        <x:v>四面環海</x:v>
      </x:c>
      <x:c r="M8" s="34" t="str">
        <x:v>C</x:v>
      </x:c>
      <x:c r="N8" s="34" t="str">
        <x:v>海岸線短</x:v>
      </x:c>
      <x:c r="O8" s="34" t="str">
        <x:v>先圈出題幹中的否定詞，再逐一檢查四個選項。</x:v>
      </x:c>
      <x:c r="P8" s="34" t="str">
        <x:v>「海岸線短」最符合題目所問的時間、地點或概念。臺灣東部多陡峭斷崖、西部多平直沙岸、北部多岬灣，南部則可見珊瑚礁海岸；高雄港利用潟湖地形發展。</x:v>
      </x:c>
      <x:c r="Q8" s="34" t="str">
        <x:v>這題不是在找「南北長」。對照課本後，「海岸線短」才符合題意。臺灣東部多陡峭斷崖、西部多平直沙岸、北部多岬灣，南部則可見珊瑚礁海岸；高雄港利用潟湖地形發展。</x:v>
      </x:c>
      <x:c r="R8" s="34" t="str">
        <x:v>選項「東西窄」混入了不同背景的資料。回看題幹，應選「海岸線短」。臺灣東部多陡峭斷崖、西部多平直沙岸、北部多岬灣，南部則可見珊瑚礁海岸；高雄港利用潟湖地形發展。</x:v>
      </x:c>
      <x:c r="S8" s="34" t="str">
        <x:v>這項選擇成立；「海岸線短」符合題目要求。臺灣東部多陡峭斷崖、西部多平直沙岸、北部多岬灣，南部則可見珊瑚礁海岸；高雄港利用潟湖地形發展。</x:v>
      </x:c>
      <x:c r="T8" s="34" t="str">
        <x:v>先不要選「四面環海」。把人物、地點或概念重新配對後，應是「海岸線短」。臺灣東部多陡峭斷崖、西部多平直沙岸、北部多岬灣，南部則可見珊瑚礁海岸；高雄港利用潟湖地形發展。</x:v>
      </x:c>
      <x:c r="U8" s="34" t="str">
        <x:v>題幹條件配對錯誤</x:v>
      </x:c>
      <x:c r="V8" s="34" t="str">
        <x:v>題幹條件配對錯誤</x:v>
      </x:c>
      <x:c r="W8" s="34" t="str">
        <x:v>判斷正確</x:v>
      </x:c>
      <x:c r="X8" s="34" t="str">
        <x:v>題幹條件配對錯誤</x:v>
      </x:c>
      <x:c r="Y8" s="34" t="str">
        <x:v>臺灣東部多陡峭斷崖、西部多平直沙岸、北部多岬灣，南部則可見珊瑚礁海岸；高雄港利用潟湖地形發展。</x:v>
      </x:c>
      <x:c r="Z8" s="34" t="str">
        <x:v>臺灣礦業曾帶動地方發展，但多數礦產逐漸停採；花蓮仍有大理石礦，瑞芳、九份過去則以煤或金礦聞名。</x:v>
      </x:c>
      <x:c r="AA8" s="34" t="str">
        <x:v>臺灣周邊海流交會，帶來多樣漁業資源；過度捕撈會使魚群減少，因此需要適當的取用與管理。</x:v>
      </x:c>
      <x:c r="AB8" s="34" t="str">
        <x:v>A</x:v>
      </x:c>
      <x:c r="AC8" s="34" t="str">
        <x:v>這項說明能直接支持「海岸線短」，也補上題目背後的課本知識。</x:v>
      </x:c>
      <x:c r="AD8" s="34" t="str">
        <x:v>這項知識本身可能正確，但屬於其他單元，不能用來證明本題答案。</x:v>
      </x:c>
      <x:c r="AE8" s="34" t="str">
        <x:v>這段資料談的是另一個主題，和目前題幹缺少直接關係。</x:v>
      </x:c>
      <x:c r="AF8" s="34" t="str">
        <x:v>回到課本地圖、時間線或表格，找出能再次驗證這個答案的資料。</x:v>
      </x:c>
      <x:c r="AG8" s="34" t="str">
        <x:v>隨堂卷</x:v>
      </x:c>
      <x:c r="AH8" s="34" t="str">
        <x:v>01_5上社會隨堂卷_第一單元臺灣！我來了_教用_.pdf</x:v>
      </x:c>
      <x:c r="AI8" s="34" t="n">
        <x:v>2</x:v>
      </x:c>
    </x:row>
    <x:row r="9" ht="76" customHeight="1">
      <x:c r="A9" s="34" t="str">
        <x:v>5A-U1</x:v>
      </x:c>
      <x:c r="B9" s="34" t="str">
        <x:v>五上</x:v>
      </x:c>
      <x:c r="C9" s="34" t="n">
        <x:v>1</x:v>
      </x:c>
      <x:c r="D9" s="34" t="str">
        <x:v>臺灣！我來了</x:v>
      </x:c>
      <x:c r="E9" s="34" t="str">
        <x:v>5A-U1-PAPER</x:v>
      </x:c>
      <x:c r="F9" s="34" t="n">
        <x:v>5</x:v>
      </x:c>
      <x:c r="G9" s="34" t="str">
        <x:v>月考卷A</x:v>
      </x:c>
      <x:c r="H9" s="34" t="str">
        <x:v>下列哪一個史前遺址的人們，尚未開始定居的生活？</x:v>
      </x:c>
      <x:c r="I9" s="34" t="str">
        <x:v>八仙洞遺址</x:v>
      </x:c>
      <x:c r="J9" s="34" t="str">
        <x:v>卑南遺址</x:v>
      </x:c>
      <x:c r="K9" s="34" t="str">
        <x:v>十三行遺址</x:v>
      </x:c>
      <x:c r="L9" s="34" t="str">
        <x:v>圓山遺址</x:v>
      </x:c>
      <x:c r="M9" s="34" t="str">
        <x:v>A</x:v>
      </x:c>
      <x:c r="N9" s="34" t="str">
        <x:v>八仙洞遺址</x:v>
      </x:c>
      <x:c r="O9" s="34" t="str">
        <x:v>抓住題幹的關鍵詞，再比較每個選項和課本內容是否相符。</x:v>
      </x:c>
      <x:c r="P9" s="34" t="str">
        <x:v>判斷重點不在字數，而在內容是否符合課本；答案是「八仙洞遺址」。八仙洞遺址可見舊石器時代的生活線索，當時人們主要採集、狩獵，尚未發展農耕定居。</x:v>
      </x:c>
      <x:c r="Q9" s="34" t="str">
        <x:v>答對了，「八仙洞遺址」和題幹線索相符。八仙洞遺址可見舊石器時代的生活線索，當時人們主要採集、狩獵，尚未發展農耕定居。</x:v>
      </x:c>
      <x:c r="R9" s="34" t="str">
        <x:v>「卑南遺址」沒有符合題幹限定的條件。正確方向是「八仙洞遺址」；八仙洞遺址可見舊石器時代的生活線索，當時人們主要採集、狩獵，尚未發展農耕定居。</x:v>
      </x:c>
      <x:c r="S9" s="34" t="str">
        <x:v>先不要選「十三行遺址」。把人物、地點或概念重新配對後，應是「八仙洞遺址」。八仙洞遺址可見舊石器時代的生活線索，當時人們主要採集、狩獵，尚未發展農耕定居。</x:v>
      </x:c>
      <x:c r="T9" s="34" t="str">
        <x:v>「圓山遺址」是干擾資料，和本題線索對不上；請改從「八仙洞遺址」思考。八仙洞遺址可見舊石器時代的生活線索，當時人們主要採集、狩獵，尚未發展農耕定居。</x:v>
      </x:c>
      <x:c r="U9" s="34" t="str">
        <x:v>判斷正確</x:v>
      </x:c>
      <x:c r="V9" s="34" t="str">
        <x:v>題幹條件配對錯誤</x:v>
      </x:c>
      <x:c r="W9" s="34" t="str">
        <x:v>題幹條件配對錯誤</x:v>
      </x:c>
      <x:c r="X9" s="34" t="str">
        <x:v>題幹條件配對錯誤</x:v>
      </x:c>
      <x:c r="Y9" s="34" t="str">
        <x:v>八仙洞遺址可見舊石器時代的生活線索，當時人們主要採集、狩獵，尚未發展農耕定居。</x:v>
      </x:c>
      <x:c r="Z9" s="34" t="str">
        <x:v>畜牧業能供應肉、蛋、乳品，也需處理傳染病、動物照養與環境污染等問題。</x:v>
      </x:c>
      <x:c r="AA9" s="34" t="str">
        <x:v>臺灣周邊海流交會，帶來多樣漁業資源；過度捕撈會使魚群減少，因此需要適當的取用與管理。</x:v>
      </x:c>
      <x:c r="AB9" s="34" t="str">
        <x:v>A</x:v>
      </x:c>
      <x:c r="AC9" s="34" t="str">
        <x:v>這項說明能直接支持「八仙洞遺址」，也補上題目背後的課本知識。</x:v>
      </x:c>
      <x:c r="AD9" s="34" t="str">
        <x:v>這項知識本身可能正確，但屬於其他單元，不能用來證明本題答案。</x:v>
      </x:c>
      <x:c r="AE9" s="34" t="str">
        <x:v>這段資料談的是另一個主題，和目前題幹缺少直接關係。</x:v>
      </x:c>
      <x:c r="AF9" s="34" t="str">
        <x:v>回到課本地圖、時間線或表格，找出能再次驗證這個答案的資料。</x:v>
      </x:c>
      <x:c r="AG9" s="34" t="str">
        <x:v>月考卷A</x:v>
      </x:c>
      <x:c r="AH9" s="34" t="str">
        <x:v>A01_5上社會月考卷_第一單元_教用_.pdf</x:v>
      </x:c>
      <x:c r="AI9" s="34" t="n">
        <x:v>2</x:v>
      </x:c>
    </x:row>
    <x:row r="10" ht="76" customHeight="1">
      <x:c r="A10" s="34" t="str">
        <x:v>5A-U1</x:v>
      </x:c>
      <x:c r="B10" s="34" t="str">
        <x:v>五上</x:v>
      </x:c>
      <x:c r="C10" s="34" t="n">
        <x:v>1</x:v>
      </x:c>
      <x:c r="D10" s="34" t="str">
        <x:v>臺灣！我來了</x:v>
      </x:c>
      <x:c r="E10" s="34" t="str">
        <x:v>5A-U1-PAPER</x:v>
      </x:c>
      <x:c r="F10" s="34" t="n">
        <x:v>6</x:v>
      </x:c>
      <x:c r="G10" s="34" t="str">
        <x:v>月考卷B</x:v>
      </x:c>
      <x:c r="H10" s="34" t="str">
        <x:v>赤道將地球分為南、北半球，臺灣位於北半球，並有下列哪條線通過？</x:v>
      </x:c>
      <x:c r="I10" s="34" t="str">
        <x:v>赤道</x:v>
      </x:c>
      <x:c r="J10" s="34" t="str">
        <x:v>北回歸線</x:v>
      </x:c>
      <x:c r="K10" s="34" t="str">
        <x:v>南回歸線</x:v>
      </x:c>
      <x:c r="L10" s="34" t="str">
        <x:v>0度經線</x:v>
      </x:c>
      <x:c r="M10" s="34" t="str">
        <x:v>B</x:v>
      </x:c>
      <x:c r="N10" s="34" t="str">
        <x:v>北回歸線</x:v>
      </x:c>
      <x:c r="O10" s="34" t="str">
        <x:v>先找題幹的方向或地點線索，再和課本地圖對照。</x:v>
      </x:c>
      <x:c r="P10" s="34" t="str">
        <x:v>關鍵答案是「北回歸線」。赤道是把地球分成南、北半球的假想線；臺灣位在北半球。</x:v>
      </x:c>
      <x:c r="Q10" s="34" t="str">
        <x:v>「赤道」沒有符合題幹限定的條件。正確方向是「北回歸線」；赤道是把地球分成南、北半球的假想線；臺灣位在北半球。</x:v>
      </x:c>
      <x:c r="R10" s="34" t="str">
        <x:v>判斷正確！你找到了「北回歸線」這個關鍵。赤道是把地球分成南、北半球的假想線；臺灣位在北半球。</x:v>
      </x:c>
      <x:c r="S10" s="34" t="str">
        <x:v>「南回歸線」是干擾資料，和本題線索對不上；請改從「北回歸線」思考。赤道是把地球分成南、北半球的假想線；臺灣位在北半球。</x:v>
      </x:c>
      <x:c r="T10" s="34" t="str">
        <x:v>這題不是在找「0度經線」。對照課本後，「北回歸線」才符合題意。赤道是把地球分成南、北半球的假想線；臺灣位在北半球。</x:v>
      </x:c>
      <x:c r="U10" s="34" t="str">
        <x:v>題幹條件配對錯誤</x:v>
      </x:c>
      <x:c r="V10" s="34" t="str">
        <x:v>判斷正確</x:v>
      </x:c>
      <x:c r="W10" s="34" t="str">
        <x:v>題幹條件配對錯誤</x:v>
      </x:c>
      <x:c r="X10" s="34" t="str">
        <x:v>題幹條件配對錯誤</x:v>
      </x:c>
      <x:c r="Y10" s="34" t="str">
        <x:v>赤道是把地球分成南、北半球的假想線；臺灣位在北半球。</x:v>
      </x:c>
      <x:c r="Z10" s="34" t="str">
        <x:v>荷蘭人曾以臺灣南部為據點，經營貿易、傳教並課徵稅收；熱蘭遮堡是重要據點。</x:v>
      </x:c>
      <x:c r="AA10" s="34" t="str">
        <x:v>鄭成功驅逐荷蘭人後建立鄭氏政權；鄭經與陳永華推動屯墾、教育等措施，鄭芝龍則較早經營海上勢力。</x:v>
      </x:c>
      <x:c r="AB10" s="34" t="str">
        <x:v>A</x:v>
      </x:c>
      <x:c r="AC10" s="34" t="str">
        <x:v>這項說明能直接支持「北回歸線」，也補上題目背後的課本知識。</x:v>
      </x:c>
      <x:c r="AD10" s="34" t="str">
        <x:v>這項知識本身可能正確，但屬於其他單元，不能用來證明本題答案。</x:v>
      </x:c>
      <x:c r="AE10" s="34" t="str">
        <x:v>這段資料談的是另一個主題，和目前題幹缺少直接關係。</x:v>
      </x:c>
      <x:c r="AF10" s="34" t="str">
        <x:v>回到課本地圖、時間線或表格，找出能再次驗證這個答案的資料。</x:v>
      </x:c>
      <x:c r="AG10" s="34" t="str">
        <x:v>月考卷B</x:v>
      </x:c>
      <x:c r="AH10" s="34" t="str">
        <x:v>B01_5上社會月考卷_第一單元_教用_.pdf</x:v>
      </x:c>
      <x:c r="AI10" s="34" t="n">
        <x:v>3</x:v>
      </x:c>
    </x:row>
    <x:row r="11" ht="76" customHeight="1">
      <x:c r="A11" s="34" t="str">
        <x:v>5A-U1</x:v>
      </x:c>
      <x:c r="B11" s="34" t="str">
        <x:v>五上</x:v>
      </x:c>
      <x:c r="C11" s="34" t="n">
        <x:v>1</x:v>
      </x:c>
      <x:c r="D11" s="34" t="str">
        <x:v>臺灣！我來了</x:v>
      </x:c>
      <x:c r="E11" s="34" t="str">
        <x:v>5A-U1-PAPER</x:v>
      </x:c>
      <x:c r="F11" s="34" t="n">
        <x:v>7</x:v>
      </x:c>
      <x:c r="G11" s="34" t="str">
        <x:v>隨堂卷</x:v>
      </x:c>
      <x:c r="H11" s="34" t="str">
        <x:v>臺灣哪一個區域的海岸擁有較多斷崖景觀？</x:v>
      </x:c>
      <x:c r="I11" s="34" t="str">
        <x:v>北部</x:v>
      </x:c>
      <x:c r="J11" s="34" t="str">
        <x:v>西部</x:v>
      </x:c>
      <x:c r="K11" s="34" t="str">
        <x:v>南部</x:v>
      </x:c>
      <x:c r="L11" s="34" t="str">
        <x:v>東部</x:v>
      </x:c>
      <x:c r="M11" s="34" t="str">
        <x:v>D</x:v>
      </x:c>
      <x:c r="N11" s="34" t="str">
        <x:v>東部</x:v>
      </x:c>
      <x:c r="O11" s="34" t="str">
        <x:v>抓住題幹的關鍵詞，再比較每個選項和課本內容是否相符。</x:v>
      </x:c>
      <x:c r="P11" s="34" t="str">
        <x:v>依課本內容，這題應選「東部」。臺灣東部多陡峭斷崖、西部多平直沙岸、北部多岬灣，南部則可見珊瑚礁海岸；高雄港利用潟湖地形發展。</x:v>
      </x:c>
      <x:c r="Q11" s="34" t="str">
        <x:v>先不要選「北部」。把人物、地點或概念重新配對後，應是「東部」。臺灣東部多陡峭斷崖、西部多平直沙岸、北部多岬灣，南部則可見珊瑚礁海岸；高雄港利用潟湖地形發展。</x:v>
      </x:c>
      <x:c r="R11" s="34" t="str">
        <x:v>「西部」是干擾資料，和本題線索對不上；請改從「東部」思考。臺灣東部多陡峭斷崖、西部多平直沙岸、北部多岬灣，南部則可見珊瑚礁海岸；高雄港利用潟湖地形發展。</x:v>
      </x:c>
      <x:c r="S11" s="34" t="str">
        <x:v>這題不是在找「南部」。對照課本後，「東部」才符合題意。臺灣東部多陡峭斷崖、西部多平直沙岸、北部多岬灣，南部則可見珊瑚礁海岸；高雄港利用潟湖地形發展。</x:v>
      </x:c>
      <x:c r="T11" s="34" t="str">
        <x:v>沒錯，課本中的相關資料支持「東部」。臺灣東部多陡峭斷崖、西部多平直沙岸、北部多岬灣，南部則可見珊瑚礁海岸；高雄港利用潟湖地形發展。</x:v>
      </x:c>
      <x:c r="U11" s="34" t="str">
        <x:v>題幹條件配對錯誤</x:v>
      </x:c>
      <x:c r="V11" s="34" t="str">
        <x:v>題幹條件配對錯誤</x:v>
      </x:c>
      <x:c r="W11" s="34" t="str">
        <x:v>題幹條件配對錯誤</x:v>
      </x:c>
      <x:c r="X11" s="34" t="str">
        <x:v>判斷正確</x:v>
      </x:c>
      <x:c r="Y11" s="34" t="str">
        <x:v>臺灣東部多陡峭斷崖、西部多平直沙岸、北部多岬灣，南部則可見珊瑚礁海岸；高雄港利用潟湖地形發展。</x:v>
      </x:c>
      <x:c r="Z11" s="34" t="str">
        <x:v>鄭成功驅逐荷蘭人後建立鄭氏政權；鄭經與陳永華推動屯墾、教育等措施，鄭芝龍則較早經營海上勢力。</x:v>
      </x:c>
      <x:c r="AA11" s="34" t="str">
        <x:v>這題要核對大航海時代的人物、地點與事件先後。</x:v>
      </x:c>
      <x:c r="AB11" s="34" t="str">
        <x:v>A</x:v>
      </x:c>
      <x:c r="AC11" s="34" t="str">
        <x:v>這項說明能直接支持「東部」，也補上題目背後的課本知識。</x:v>
      </x:c>
      <x:c r="AD11" s="34" t="str">
        <x:v>這項知識本身可能正確，但屬於其他單元，不能用來證明本題答案。</x:v>
      </x:c>
      <x:c r="AE11" s="34" t="str">
        <x:v>這段資料談的是另一個主題，和目前題幹缺少直接關係。</x:v>
      </x:c>
      <x:c r="AF11" s="34" t="str">
        <x:v>回到課本地圖、時間線或表格，找出能再次驗證這個答案的資料。</x:v>
      </x:c>
      <x:c r="AG11" s="34" t="str">
        <x:v>隨堂卷</x:v>
      </x:c>
      <x:c r="AH11" s="34" t="str">
        <x:v>01_5上社會隨堂卷_第一單元臺灣！我來了_教用_.pdf</x:v>
      </x:c>
      <x:c r="AI11" s="34" t="n">
        <x:v>3</x:v>
      </x:c>
    </x:row>
    <x:row r="12" ht="76" customHeight="1">
      <x:c r="A12" s="34" t="str">
        <x:v>5A-U1</x:v>
      </x:c>
      <x:c r="B12" s="34" t="str">
        <x:v>五上</x:v>
      </x:c>
      <x:c r="C12" s="34" t="n">
        <x:v>1</x:v>
      </x:c>
      <x:c r="D12" s="34" t="str">
        <x:v>臺灣！我來了</x:v>
      </x:c>
      <x:c r="E12" s="34" t="str">
        <x:v>5A-U1-PAPER</x:v>
      </x:c>
      <x:c r="F12" s="34" t="n">
        <x:v>8</x:v>
      </x:c>
      <x:c r="G12" s="34" t="str">
        <x:v>月考卷A</x:v>
      </x:c>
      <x:c r="H12" s="34" t="str">
        <x:v>考古學家從漢本遺址出土的哪一項文物，判斷當時的人們可能已經開始透過海上交易獲取物品？</x:v>
      </x:c>
      <x:c r="I12" s="34" t="str">
        <x:v>貝塚</x:v>
      </x:c>
      <x:c r="J12" s="34" t="str">
        <x:v>陶罐</x:v>
      </x:c>
      <x:c r="K12" s="34" t="str">
        <x:v>石製工具</x:v>
      </x:c>
      <x:c r="L12" s="34" t="str">
        <x:v>玻璃飾品</x:v>
      </x:c>
      <x:c r="M12" s="34" t="str">
        <x:v>D</x:v>
      </x:c>
      <x:c r="N12" s="34" t="str">
        <x:v>玻璃飾品</x:v>
      </x:c>
      <x:c r="O12" s="34" t="str">
        <x:v>抓住題幹的關鍵詞，再比較每個選項和課本內容是否相符。</x:v>
      </x:c>
      <x:c r="P12" s="34" t="str">
        <x:v>把題幹線索和課本資料對照，可找到「玻璃飾品」。漢本遺址出土外來玻璃飾品等物件，可作為史前人群透過海上交易取得物品的證據。</x:v>
      </x:c>
      <x:c r="Q12" s="34" t="str">
        <x:v>「貝塚」是干擾資料，和本題線索對不上；請改從「玻璃飾品」思考。漢本遺址出土外來玻璃飾品等物件，可作為史前人群透過海上交易取得物品的證據。</x:v>
      </x:c>
      <x:c r="R12" s="34" t="str">
        <x:v>這題不是在找「陶罐」。對照課本後，「玻璃飾品」才符合題意。漢本遺址出土外來玻璃飾品等物件，可作為史前人群透過海上交易取得物品的證據。</x:v>
      </x:c>
      <x:c r="S12" s="34" t="str">
        <x:v>選項「石製工具」混入了不同背景的資料。回看題幹，應選「玻璃飾品」。漢本遺址出土外來玻璃飾品等物件，可作為史前人群透過海上交易取得物品的證據。</x:v>
      </x:c>
      <x:c r="T12" s="34" t="str">
        <x:v>這項選擇成立；「玻璃飾品」符合題目要求。漢本遺址出土外來玻璃飾品等物件，可作為史前人群透過海上交易取得物品的證據。</x:v>
      </x:c>
      <x:c r="U12" s="34" t="str">
        <x:v>題幹條件配對錯誤</x:v>
      </x:c>
      <x:c r="V12" s="34" t="str">
        <x:v>題幹條件配對錯誤</x:v>
      </x:c>
      <x:c r="W12" s="34" t="str">
        <x:v>題幹條件配對錯誤</x:v>
      </x:c>
      <x:c r="X12" s="34" t="str">
        <x:v>判斷正確</x:v>
      </x:c>
      <x:c r="Y12" s="34" t="str">
        <x:v>漢本遺址出土外來玻璃飾品等物件，可作為史前人群透過海上交易取得物品的證據。</x:v>
      </x:c>
      <x:c r="Z12" s="34" t="str">
        <x:v>早期漢人渡過臺灣海峽來臺，航程受到季風、海象與船隻條件影響；『黑水溝』常指澎湖與臺灣島間的危險水域。</x:v>
      </x:c>
      <x:c r="AA12" s="34" t="str">
        <x:v>臺灣南部乾季明顯、日照充足，沿海平坦，因此適合發展晒鹽等產業。</x:v>
      </x:c>
      <x:c r="AB12" s="34" t="str">
        <x:v>A</x:v>
      </x:c>
      <x:c r="AC12" s="34" t="str">
        <x:v>這項說明能直接支持「玻璃飾品」，也補上題目背後的課本知識。</x:v>
      </x:c>
      <x:c r="AD12" s="34" t="str">
        <x:v>這項知識本身可能正確，但屬於其他單元，不能用來證明本題答案。</x:v>
      </x:c>
      <x:c r="AE12" s="34" t="str">
        <x:v>這段資料談的是另一個主題，和目前題幹缺少直接關係。</x:v>
      </x:c>
      <x:c r="AF12" s="34" t="str">
        <x:v>回到課本地圖、時間線或表格，找出能再次驗證這個答案的資料。</x:v>
      </x:c>
      <x:c r="AG12" s="34" t="str">
        <x:v>月考卷A</x:v>
      </x:c>
      <x:c r="AH12" s="34" t="str">
        <x:v>A01_5上社會月考卷_第一單元_教用_.pdf</x:v>
      </x:c>
      <x:c r="AI12" s="34" t="n">
        <x:v>3</x:v>
      </x:c>
    </x:row>
    <x:row r="13" ht="76" customHeight="1">
      <x:c r="A13" s="34" t="str">
        <x:v>5A-U1</x:v>
      </x:c>
      <x:c r="B13" s="34" t="str">
        <x:v>五上</x:v>
      </x:c>
      <x:c r="C13" s="34" t="n">
        <x:v>1</x:v>
      </x:c>
      <x:c r="D13" s="34" t="str">
        <x:v>臺灣！我來了</x:v>
      </x:c>
      <x:c r="E13" s="34" t="str">
        <x:v>5A-U1-PAPER</x:v>
      </x:c>
      <x:c r="F13" s="34" t="n">
        <x:v>9</x:v>
      </x:c>
      <x:c r="G13" s="34" t="str">
        <x:v>月考卷B</x:v>
      </x:c>
      <x:c r="H13" s="34" t="str">
        <x:v>下列有關臺灣與鄰近國家位置的敘述，哪一項錯誤？</x:v>
      </x:c>
      <x:c r="I13" s="34" t="str">
        <x:v>韓國位於臺灣的北方</x:v>
      </x:c>
      <x:c r="J13" s="34" t="str">
        <x:v>菲律賓位於臺灣的南方</x:v>
      </x:c>
      <x:c r="K13" s="34" t="str">
        <x:v>越南位於臺灣的東南方</x:v>
      </x:c>
      <x:c r="L13" s="34" t="str">
        <x:v>日本位於臺灣的東北方</x:v>
      </x:c>
      <x:c r="M13" s="34" t="str">
        <x:v>C</x:v>
      </x:c>
      <x:c r="N13" s="34" t="str">
        <x:v>越南位於臺灣的東南方</x:v>
      </x:c>
      <x:c r="O13" s="34" t="str">
        <x:v>先圈出題幹中的否定詞，再逐一檢查四個選項。</x:v>
      </x:c>
      <x:c r="P13" s="34" t="str">
        <x:v>「越南位於臺灣的東南方」最符合題目所問的時間、地點或概念。臺灣南方隔著巴士海峽與菲律賓相鄰，顯示臺灣位在東亞與東南亞之間。</x:v>
      </x:c>
      <x:c r="Q13" s="34" t="str">
        <x:v>這題不是在找「韓國位於臺灣的北方」。對照課本後，「越南位於臺灣的東南方」才符合題意。臺灣南方隔著巴士海峽與菲律賓相鄰，顯示臺灣位在東亞與東南亞之間。</x:v>
      </x:c>
      <x:c r="R13" s="34" t="str">
        <x:v>選項「菲律賓位於臺灣的南方」混入了不同背景的資料。回看題幹，應選「越南位於臺灣的東南方」。臺灣南方隔著巴士海峽與菲律賓相鄰，顯示臺灣位在東亞與東南亞之間。</x:v>
      </x:c>
      <x:c r="S13" s="34" t="str">
        <x:v>答對了，「越南位於臺灣的東南方」和題幹線索相符。臺灣南方隔著巴士海峽與菲律賓相鄰，顯示臺灣位在東亞與東南亞之間。</x:v>
      </x:c>
      <x:c r="T13" s="34" t="str">
        <x:v>先不要選「日本位於臺灣的東北方」。把人物、地點或概念重新配對後，應是「越南位於臺灣的東南方」。臺灣南方隔著巴士海峽與菲律賓相鄰，顯示臺灣位在東亞與東南亞之間。</x:v>
      </x:c>
      <x:c r="U13" s="34" t="str">
        <x:v>題幹條件配對錯誤</x:v>
      </x:c>
      <x:c r="V13" s="34" t="str">
        <x:v>題幹條件配對錯誤</x:v>
      </x:c>
      <x:c r="W13" s="34" t="str">
        <x:v>判斷正確</x:v>
      </x:c>
      <x:c r="X13" s="34" t="str">
        <x:v>題幹條件配對錯誤</x:v>
      </x:c>
      <x:c r="Y13" s="34" t="str">
        <x:v>臺灣南方隔著巴士海峽與菲律賓相鄰，顯示臺灣位在東亞與東南亞之間。</x:v>
      </x:c>
      <x:c r="Z13" s="34" t="str">
        <x:v>這題要從清代移民、開墾、族群互動與地方生活的背景判斷。</x:v>
      </x:c>
      <x:c r="AA13" s="34" t="str">
        <x:v>朱一貴事件是清代臺灣的重要民變，反映當時治理與社會矛盾。</x:v>
      </x:c>
      <x:c r="AB13" s="34" t="str">
        <x:v>A</x:v>
      </x:c>
      <x:c r="AC13" s="34" t="str">
        <x:v>這項說明能直接支持「越南位於臺灣的東南方」，也補上題目背後的課本知識。</x:v>
      </x:c>
      <x:c r="AD13" s="34" t="str">
        <x:v>這項知識本身可能正確，但屬於其他單元，不能用來證明本題答案。</x:v>
      </x:c>
      <x:c r="AE13" s="34" t="str">
        <x:v>這段資料談的是另一個主題，和目前題幹缺少直接關係。</x:v>
      </x:c>
      <x:c r="AF13" s="34" t="str">
        <x:v>回到課本地圖、時間線或表格，找出能再次驗證這個答案的資料。</x:v>
      </x:c>
      <x:c r="AG13" s="34" t="str">
        <x:v>月考卷B</x:v>
      </x:c>
      <x:c r="AH13" s="34" t="str">
        <x:v>B01_5上社會月考卷_第一單元_教用_.pdf</x:v>
      </x:c>
      <x:c r="AI13" s="34" t="n">
        <x:v>4</x:v>
      </x:c>
    </x:row>
    <x:row r="14" ht="76" customHeight="1">
      <x:c r="A14" s="34" t="str">
        <x:v>5A-U1</x:v>
      </x:c>
      <x:c r="B14" s="34" t="str">
        <x:v>五上</x:v>
      </x:c>
      <x:c r="C14" s="34" t="n">
        <x:v>1</x:v>
      </x:c>
      <x:c r="D14" s="34" t="str">
        <x:v>臺灣！我來了</x:v>
      </x:c>
      <x:c r="E14" s="34" t="str">
        <x:v>5A-U1-PAPER</x:v>
      </x:c>
      <x:c r="F14" s="34" t="n">
        <x:v>10</x:v>
      </x:c>
      <x:c r="G14" s="34" t="str">
        <x:v>隨堂卷</x:v>
      </x:c>
      <x:c r="H14" s="34" t="str">
        <x:v>下列哪一座島嶼位於臺灣島的東南方？</x:v>
      </x:c>
      <x:c r="I14" s="34" t="str">
        <x:v>金門群島</x:v>
      </x:c>
      <x:c r="J14" s="34" t="str">
        <x:v>馬祖列島</x:v>
      </x:c>
      <x:c r="K14" s="34" t="str">
        <x:v>澎湖群島</x:v>
      </x:c>
      <x:c r="L14" s="34" t="str">
        <x:v>綠島</x:v>
      </x:c>
      <x:c r="M14" s="34" t="str">
        <x:v>D</x:v>
      </x:c>
      <x:c r="N14" s="34" t="str">
        <x:v>綠島</x:v>
      </x:c>
      <x:c r="O14" s="34" t="str">
        <x:v>先找題幹的方向或地點線索，再和課本地圖對照。</x:v>
      </x:c>
      <x:c r="P14" s="34" t="str">
        <x:v>判斷重點不在字數，而在內容是否符合課本；答案是「綠島」。判斷臺灣附屬島嶼的位置，要以臺灣本島為基準比較方向；綠島與蘭嶼位於本島東南方海域。</x:v>
      </x:c>
      <x:c r="Q14" s="34" t="str">
        <x:v>選項「金門群島」混入了不同背景的資料。回看題幹，應選「綠島」。判斷臺灣附屬島嶼的位置，要以臺灣本島為基準比較方向；綠島與蘭嶼位於本島東南方海域。</x:v>
      </x:c>
      <x:c r="R14" s="34" t="str">
        <x:v>「馬祖列島」沒有符合題幹限定的條件。正確方向是「綠島」；判斷臺灣附屬島嶼的位置，要以臺灣本島為基準比較方向；綠島與蘭嶼位於本島東南方海域。</x:v>
      </x:c>
      <x:c r="S14" s="34" t="str">
        <x:v>先不要選「澎湖群島」。把人物、地點或概念重新配對後，應是「綠島」。判斷臺灣附屬島嶼的位置，要以臺灣本島為基準比較方向；綠島與蘭嶼位於本島東南方海域。</x:v>
      </x:c>
      <x:c r="T14" s="34" t="str">
        <x:v>判斷正確！你找到了「綠島」這個關鍵。判斷臺灣附屬島嶼的位置，要以臺灣本島為基準比較方向；綠島與蘭嶼位於本島東南方海域。</x:v>
      </x:c>
      <x:c r="U14" s="34" t="str">
        <x:v>題幹條件配對錯誤</x:v>
      </x:c>
      <x:c r="V14" s="34" t="str">
        <x:v>題幹條件配對錯誤</x:v>
      </x:c>
      <x:c r="W14" s="34" t="str">
        <x:v>題幹條件配對錯誤</x:v>
      </x:c>
      <x:c r="X14" s="34" t="str">
        <x:v>判斷正確</x:v>
      </x:c>
      <x:c r="Y14" s="34" t="str">
        <x:v>判斷臺灣附屬島嶼的位置，要以臺灣本島為基準比較方向；綠島與蘭嶼位於本島東南方海域。</x:v>
      </x:c>
      <x:c r="Z14" s="34" t="str">
        <x:v>這題要連結開港、戰爭、政策與港市發展的因果。</x:v>
      </x:c>
      <x:c r="AA14" s="34" t="str">
        <x:v>劉銘傳是臺灣建省後的首任巡撫，推動鐵路、電報等建設；清法戰爭期間也加強淡水防務。</x:v>
      </x:c>
      <x:c r="AB14" s="34" t="str">
        <x:v>A</x:v>
      </x:c>
      <x:c r="AC14" s="34" t="str">
        <x:v>這項說明能直接支持「綠島」，也補上題目背後的課本知識。</x:v>
      </x:c>
      <x:c r="AD14" s="34" t="str">
        <x:v>這項知識本身可能正確，但屬於其他單元，不能用來證明本題答案。</x:v>
      </x:c>
      <x:c r="AE14" s="34" t="str">
        <x:v>這段資料談的是另一個主題，和目前題幹缺少直接關係。</x:v>
      </x:c>
      <x:c r="AF14" s="34" t="str">
        <x:v>回到課本地圖、時間線或表格，找出能再次驗證這個答案的資料。</x:v>
      </x:c>
      <x:c r="AG14" s="34" t="str">
        <x:v>隨堂卷</x:v>
      </x:c>
      <x:c r="AH14" s="34" t="str">
        <x:v>01_5上社會隨堂卷_第一單元臺灣！我來了_教用_.pdf</x:v>
      </x:c>
      <x:c r="AI14" s="34" t="n">
        <x:v>4</x:v>
      </x:c>
    </x:row>
    <x:row r="15" ht="76" customHeight="1">
      <x:c r="A15" s="34" t="str">
        <x:v>5A-U1</x:v>
      </x:c>
      <x:c r="B15" s="34" t="str">
        <x:v>五上</x:v>
      </x:c>
      <x:c r="C15" s="34" t="n">
        <x:v>1</x:v>
      </x:c>
      <x:c r="D15" s="34" t="str">
        <x:v>臺灣！我來了</x:v>
      </x:c>
      <x:c r="E15" s="34" t="str">
        <x:v>5A-U1-PAPER</x:v>
      </x:c>
      <x:c r="F15" s="34" t="n">
        <x:v>11</x:v>
      </x:c>
      <x:c r="G15" s="34" t="str">
        <x:v>月考卷A</x:v>
      </x:c>
      <x:c r="H15" s="34" t="str">
        <x:v>下列對臺灣島海岸型態的敘述，哪一項正確？</x:v>
      </x:c>
      <x:c r="I15" s="34" t="str">
        <x:v>西部主要是斷崖海岸</x:v>
      </x:c>
      <x:c r="J15" s="34" t="str">
        <x:v>南部擁有獨特的珊瑚礁海岸</x:v>
      </x:c>
      <x:c r="K15" s="34" t="str">
        <x:v>東部海岸線曲折多岬灣</x:v>
      </x:c>
      <x:c r="L15" s="34" t="str">
        <x:v>北部多為平直沙岸</x:v>
      </x:c>
      <x:c r="M15" s="34" t="str">
        <x:v>B</x:v>
      </x:c>
      <x:c r="N15" s="34" t="str">
        <x:v>南部擁有獨特的珊瑚礁海岸</x:v>
      </x:c>
      <x:c r="O15" s="34" t="str">
        <x:v>抓住題幹的關鍵詞，再比較每個選項和課本內容是否相符。</x:v>
      </x:c>
      <x:c r="P15" s="34" t="str">
        <x:v>關鍵答案是「南部擁有獨特的珊瑚礁海岸」。臺灣東部多陡峭斷崖、西部多平直沙岸、北部多岬灣，南部則可見珊瑚礁海岸；高雄港利用潟湖地形發展。</x:v>
      </x:c>
      <x:c r="Q15" s="34" t="str">
        <x:v>「西部主要是斷崖海岸」沒有符合題幹限定的條件。正確方向是「南部擁有獨特的珊瑚礁海岸」；臺灣東部多陡峭斷崖、西部多平直沙岸、北部多岬灣，南部則可見珊瑚礁海岸；高雄港利用潟湖地形發展。</x:v>
      </x:c>
      <x:c r="R15" s="34" t="str">
        <x:v>沒錯，課本中的相關資料支持「南部擁有獨特的珊瑚礁海岸」。臺灣東部多陡峭斷崖、西部多平直沙岸、北部多岬灣，南部則可見珊瑚礁海岸；高雄港利用潟湖地形發展。</x:v>
      </x:c>
      <x:c r="S15" s="34" t="str">
        <x:v>「東部海岸線曲折多岬灣」是干擾資料，和本題線索對不上；請改從「南部擁有獨特的珊瑚礁海岸」思考。臺灣東部多陡峭斷崖、西部多平直沙岸、北部多岬灣，南部則可見珊瑚礁海岸；高雄港利用潟湖地形發展。</x:v>
      </x:c>
      <x:c r="T15" s="34" t="str">
        <x:v>這題不是在找「北部多為平直沙岸」。對照課本後，「南部擁有獨特的珊瑚礁海岸」才符合題意。臺灣東部多陡峭斷崖、西部多平直沙岸、北部多岬灣，南部則可見珊瑚礁海岸；高雄港利用潟湖地形發展。</x:v>
      </x:c>
      <x:c r="U15" s="34" t="str">
        <x:v>題幹條件配對錯誤</x:v>
      </x:c>
      <x:c r="V15" s="34" t="str">
        <x:v>判斷正確</x:v>
      </x:c>
      <x:c r="W15" s="34" t="str">
        <x:v>題幹條件配對錯誤</x:v>
      </x:c>
      <x:c r="X15" s="34" t="str">
        <x:v>題幹條件配對錯誤</x:v>
      </x:c>
      <x:c r="Y15" s="34" t="str">
        <x:v>臺灣東部多陡峭斷崖、西部多平直沙岸、北部多岬灣，南部則可見珊瑚礁海岸；高雄港利用潟湖地形發展。</x:v>
      </x:c>
      <x:c r="Z15" s="34" t="str">
        <x:v>1860 年代臺灣開港通商後，外商設立洋行，外國也設領事館處理外交事務，臺灣更深地進入國際貿易。</x:v>
      </x:c>
      <x:c r="AA15" s="34" t="str">
        <x:v>巴克禮在臺南從事傳教與教育，使用羅馬字推廣閱讀，並發行《臺灣府城教會報》。</x:v>
      </x:c>
      <x:c r="AB15" s="34" t="str">
        <x:v>A</x:v>
      </x:c>
      <x:c r="AC15" s="34" t="str">
        <x:v>這項說明能直接支持「南部擁有獨特的珊瑚礁海岸」，也補上題目背後的課本知識。</x:v>
      </x:c>
      <x:c r="AD15" s="34" t="str">
        <x:v>這項知識本身可能正確，但屬於其他單元，不能用來證明本題答案。</x:v>
      </x:c>
      <x:c r="AE15" s="34" t="str">
        <x:v>這段資料談的是另一個主題，和目前題幹缺少直接關係。</x:v>
      </x:c>
      <x:c r="AF15" s="34" t="str">
        <x:v>回到課本地圖、時間線或表格，找出能再次驗證這個答案的資料。</x:v>
      </x:c>
      <x:c r="AG15" s="34" t="str">
        <x:v>月考卷A</x:v>
      </x:c>
      <x:c r="AH15" s="34" t="str">
        <x:v>A01_5上社會月考卷_第一單元_教用_.pdf</x:v>
      </x:c>
      <x:c r="AI15" s="34" t="n">
        <x:v>4</x:v>
      </x:c>
    </x:row>
    <x:row r="16" ht="76" customHeight="1">
      <x:c r="A16" s="34" t="str">
        <x:v>5A-U1</x:v>
      </x:c>
      <x:c r="B16" s="34" t="str">
        <x:v>五上</x:v>
      </x:c>
      <x:c r="C16" s="34" t="n">
        <x:v>1</x:v>
      </x:c>
      <x:c r="D16" s="34" t="str">
        <x:v>臺灣！我來了</x:v>
      </x:c>
      <x:c r="E16" s="34" t="str">
        <x:v>5A-U1-PAPER</x:v>
      </x:c>
      <x:c r="F16" s="34" t="n">
        <x:v>12</x:v>
      </x:c>
      <x:c r="G16" s="34" t="str">
        <x:v>月考卷B</x:v>
      </x:c>
      <x:c r="H16" s="34" t="str">
        <x:v>下列哪個區域因為地勢陡峭，自然生態保存較完整？</x:v>
      </x:c>
      <x:c r="I16" s="34" t="str">
        <x:v>東部</x:v>
      </x:c>
      <x:c r="J16" s="34" t="str">
        <x:v>北部</x:v>
      </x:c>
      <x:c r="K16" s="34" t="str">
        <x:v>西部</x:v>
      </x:c>
      <x:c r="L16" s="34" t="str">
        <x:v>南部</x:v>
      </x:c>
      <x:c r="M16" s="34" t="str">
        <x:v>A</x:v>
      </x:c>
      <x:c r="N16" s="34" t="str">
        <x:v>東部</x:v>
      </x:c>
      <x:c r="O16" s="34" t="str">
        <x:v>抓住題幹的關鍵詞，再比較每個選項和課本內容是否相符。</x:v>
      </x:c>
      <x:c r="P16" s="34" t="str">
        <x:v>依課本內容，這題應選「東部」。這題要用臺灣的位置、地形或考古證據判斷，不能只靠印象。</x:v>
      </x:c>
      <x:c r="Q16" s="34" t="str">
        <x:v>這項選擇成立；「東部」符合題目要求。這題要用臺灣的位置、地形或考古證據判斷，不能只靠印象。</x:v>
      </x:c>
      <x:c r="R16" s="34" t="str">
        <x:v>「北部」是干擾資料，和本題線索對不上；請改從「東部」思考。這題要用臺灣的位置、地形或考古證據判斷，不能只靠印象。</x:v>
      </x:c>
      <x:c r="S16" s="34" t="str">
        <x:v>這題不是在找「西部」。對照課本後，「東部」才符合題意。這題要用臺灣的位置、地形或考古證據判斷，不能只靠印象。</x:v>
      </x:c>
      <x:c r="T16" s="34" t="str">
        <x:v>選項「南部」混入了不同背景的資料。回看題幹，應選「東部」。這題要用臺灣的位置、地形或考古證據判斷，不能只靠印象。</x:v>
      </x:c>
      <x:c r="U16" s="34" t="str">
        <x:v>判斷正確</x:v>
      </x:c>
      <x:c r="V16" s="34" t="str">
        <x:v>題幹條件配對錯誤</x:v>
      </x:c>
      <x:c r="W16" s="34" t="str">
        <x:v>題幹條件配對錯誤</x:v>
      </x:c>
      <x:c r="X16" s="34" t="str">
        <x:v>題幹條件配對錯誤</x:v>
      </x:c>
      <x:c r="Y16" s="34" t="str">
        <x:v>這題要用臺灣的位置、地形或考古證據判斷，不能只靠印象。</x:v>
      </x:c>
      <x:c r="Z16" s="34" t="str">
        <x:v>沼氣可由有機廢棄物產生並用來發電，但處理不當的氣味可能影響附近居民。</x:v>
      </x:c>
      <x:c r="AA16" s="34" t="str">
        <x:v>火力發電依靠煤、石油或天然氣等燃料，不屬於再生能源；再生能源則可在自然循環中持續補充。</x:v>
      </x:c>
      <x:c r="AB16" s="34" t="str">
        <x:v>A</x:v>
      </x:c>
      <x:c r="AC16" s="34" t="str">
        <x:v>這項說明能直接支持「東部」，也補上題目背後的課本知識。</x:v>
      </x:c>
      <x:c r="AD16" s="34" t="str">
        <x:v>這項知識本身可能正確，但屬於其他單元，不能用來證明本題答案。</x:v>
      </x:c>
      <x:c r="AE16" s="34" t="str">
        <x:v>這段資料談的是另一個主題，和目前題幹缺少直接關係。</x:v>
      </x:c>
      <x:c r="AF16" s="34" t="str">
        <x:v>回到課本地圖、時間線或表格，找出能再次驗證這個答案的資料。</x:v>
      </x:c>
      <x:c r="AG16" s="34" t="str">
        <x:v>月考卷B</x:v>
      </x:c>
      <x:c r="AH16" s="34" t="str">
        <x:v>B01_5上社會月考卷_第一單元_教用_.pdf</x:v>
      </x:c>
      <x:c r="AI16" s="34" t="n">
        <x:v>5</x:v>
      </x:c>
    </x:row>
    <x:row r="17" ht="76" customHeight="1">
      <x:c r="A17" s="34" t="str">
        <x:v>5A-U1</x:v>
      </x:c>
      <x:c r="B17" s="34" t="str">
        <x:v>五上</x:v>
      </x:c>
      <x:c r="C17" s="34" t="n">
        <x:v>1</x:v>
      </x:c>
      <x:c r="D17" s="34" t="str">
        <x:v>臺灣！我來了</x:v>
      </x:c>
      <x:c r="E17" s="34" t="str">
        <x:v>5A-U1-PAPER</x:v>
      </x:c>
      <x:c r="F17" s="34" t="n">
        <x:v>13</x:v>
      </x:c>
      <x:c r="G17" s="34" t="str">
        <x:v>隨堂卷</x:v>
      </x:c>
      <x:c r="H17" s="34" t="str">
        <x:v>高雄港是利用下列哪種海岸地形開發而成的重要商港？</x:v>
      </x:c>
      <x:c r="I17" s="34" t="str">
        <x:v>珊瑚礁</x:v>
      </x:c>
      <x:c r="J17" s="34" t="str">
        <x:v>潟湖</x:v>
      </x:c>
      <x:c r="K17" s="34" t="str">
        <x:v>岬灣</x:v>
      </x:c>
      <x:c r="L17" s="34" t="str">
        <x:v>斷崖</x:v>
      </x:c>
      <x:c r="M17" s="34" t="str">
        <x:v>B</x:v>
      </x:c>
      <x:c r="N17" s="34" t="str">
        <x:v>潟湖</x:v>
      </x:c>
      <x:c r="O17" s="34" t="str">
        <x:v>抓住題幹的關鍵詞，再比較每個選項和課本內容是否相符。</x:v>
      </x:c>
      <x:c r="P17" s="34" t="str">
        <x:v>把題幹線索和課本資料對照，可找到「潟湖」。臺灣東部多陡峭斷崖、西部多平直沙岸、北部多岬灣，南部則可見珊瑚礁海岸；高雄港利用潟湖地形發展。</x:v>
      </x:c>
      <x:c r="Q17" s="34" t="str">
        <x:v>「珊瑚礁」是干擾資料，和本題線索對不上；請改從「潟湖」思考。臺灣東部多陡峭斷崖、西部多平直沙岸、北部多岬灣，南部則可見珊瑚礁海岸；高雄港利用潟湖地形發展。</x:v>
      </x:c>
      <x:c r="R17" s="34" t="str">
        <x:v>答對了，「潟湖」和題幹線索相符。臺灣東部多陡峭斷崖、西部多平直沙岸、北部多岬灣，南部則可見珊瑚礁海岸；高雄港利用潟湖地形發展。</x:v>
      </x:c>
      <x:c r="S17" s="34" t="str">
        <x:v>選項「岬灣」混入了不同背景的資料。回看題幹，應選「潟湖」。臺灣東部多陡峭斷崖、西部多平直沙岸、北部多岬灣，南部則可見珊瑚礁海岸；高雄港利用潟湖地形發展。</x:v>
      </x:c>
      <x:c r="T17" s="34" t="str">
        <x:v>「斷崖」沒有符合題幹限定的條件。正確方向是「潟湖」；臺灣東部多陡峭斷崖、西部多平直沙岸、北部多岬灣，南部則可見珊瑚礁海岸；高雄港利用潟湖地形發展。</x:v>
      </x:c>
      <x:c r="U17" s="34" t="str">
        <x:v>題幹條件配對錯誤</x:v>
      </x:c>
      <x:c r="V17" s="34" t="str">
        <x:v>判斷正確</x:v>
      </x:c>
      <x:c r="W17" s="34" t="str">
        <x:v>題幹條件配對錯誤</x:v>
      </x:c>
      <x:c r="X17" s="34" t="str">
        <x:v>題幹條件配對錯誤</x:v>
      </x:c>
      <x:c r="Y17" s="34" t="str">
        <x:v>臺灣東部多陡峭斷崖、西部多平直沙岸、北部多岬灣，南部則可見珊瑚礁海岸；高雄港利用潟湖地形發展。</x:v>
      </x:c>
      <x:c r="Z17" s="34" t="str">
        <x:v>水力發電利用水流，但會受降雨與水量影響，興建設施也可能改變河川環境。</x:v>
      </x:c>
      <x:c r="AA17" s="34" t="str">
        <x:v>太陽能發電在日照充足時較有效率，陰雨或夜間供電會下降，因此需要搭配儲能或其他電源。</x:v>
      </x:c>
      <x:c r="AB17" s="34" t="str">
        <x:v>A</x:v>
      </x:c>
      <x:c r="AC17" s="34" t="str">
        <x:v>這項說明能直接支持「潟湖」，也補上題目背後的課本知識。</x:v>
      </x:c>
      <x:c r="AD17" s="34" t="str">
        <x:v>這項知識本身可能正確，但屬於其他單元，不能用來證明本題答案。</x:v>
      </x:c>
      <x:c r="AE17" s="34" t="str">
        <x:v>這段資料談的是另一個主題，和目前題幹缺少直接關係。</x:v>
      </x:c>
      <x:c r="AF17" s="34" t="str">
        <x:v>回到課本地圖、時間線或表格，找出能再次驗證這個答案的資料。</x:v>
      </x:c>
      <x:c r="AG17" s="34" t="str">
        <x:v>隨堂卷</x:v>
      </x:c>
      <x:c r="AH17" s="34" t="str">
        <x:v>01_5上社會隨堂卷_第一單元臺灣！我來了_教用_.pdf</x:v>
      </x:c>
      <x:c r="AI17" s="34" t="n">
        <x:v>5</x:v>
      </x:c>
    </x:row>
    <x:row r="18" ht="76" customHeight="1">
      <x:c r="A18" s="34" t="str">
        <x:v>5A-U1</x:v>
      </x:c>
      <x:c r="B18" s="34" t="str">
        <x:v>五上</x:v>
      </x:c>
      <x:c r="C18" s="34" t="n">
        <x:v>1</x:v>
      </x:c>
      <x:c r="D18" s="34" t="str">
        <x:v>臺灣！我來了</x:v>
      </x:c>
      <x:c r="E18" s="34" t="str">
        <x:v>5A-U1-PAPER</x:v>
      </x:c>
      <x:c r="F18" s="34" t="n">
        <x:v>14</x:v>
      </x:c>
      <x:c r="G18" s="34" t="str">
        <x:v>月考卷A</x:v>
      </x:c>
      <x:c r="H18" s="34" t="str">
        <x:v>下列哪個史前遺址位於現今的新北市？</x:v>
      </x:c>
      <x:c r="I18" s="34" t="str">
        <x:v>漢本遺址</x:v>
      </x:c>
      <x:c r="J18" s="34" t="str">
        <x:v>八仙洞遺址</x:v>
      </x:c>
      <x:c r="K18" s="34" t="str">
        <x:v>卑南遺址</x:v>
      </x:c>
      <x:c r="L18" s="34" t="str">
        <x:v>十三行遺址</x:v>
      </x:c>
      <x:c r="M18" s="34" t="str">
        <x:v>D</x:v>
      </x:c>
      <x:c r="N18" s="34" t="str">
        <x:v>十三行遺址</x:v>
      </x:c>
      <x:c r="O18" s="34" t="str">
        <x:v>先找題幹的方向或地點線索，再和課本地圖對照。</x:v>
      </x:c>
      <x:c r="P18" s="34" t="str">
        <x:v>「十三行遺址」最符合題目所問的時間、地點或概念。八仙洞遺址可見舊石器時代的生活線索，當時人們主要採集、狩獵，尚未發展農耕定居。</x:v>
      </x:c>
      <x:c r="Q18" s="34" t="str">
        <x:v>這題不是在找「漢本遺址」。對照課本後，「十三行遺址」才符合題意。八仙洞遺址可見舊石器時代的生活線索，當時人們主要採集、狩獵，尚未發展農耕定居。</x:v>
      </x:c>
      <x:c r="R18" s="34" t="str">
        <x:v>選項「八仙洞遺址」混入了不同背景的資料。回看題幹，應選「十三行遺址」。八仙洞遺址可見舊石器時代的生活線索，當時人們主要採集、狩獵，尚未發展農耕定居。</x:v>
      </x:c>
      <x:c r="S18" s="34" t="str">
        <x:v>「卑南遺址」沒有符合題幹限定的條件。正確方向是「十三行遺址」；八仙洞遺址可見舊石器時代的生活線索，當時人們主要採集、狩獵，尚未發展農耕定居。</x:v>
      </x:c>
      <x:c r="T18" s="34" t="str">
        <x:v>判斷正確！你找到了「十三行遺址」這個關鍵。八仙洞遺址可見舊石器時代的生活線索，當時人們主要採集、狩獵，尚未發展農耕定居。</x:v>
      </x:c>
      <x:c r="U18" s="34" t="str">
        <x:v>題幹條件配對錯誤</x:v>
      </x:c>
      <x:c r="V18" s="34" t="str">
        <x:v>題幹條件配對錯誤</x:v>
      </x:c>
      <x:c r="W18" s="34" t="str">
        <x:v>題幹條件配對錯誤</x:v>
      </x:c>
      <x:c r="X18" s="34" t="str">
        <x:v>判斷正確</x:v>
      </x:c>
      <x:c r="Y18" s="34" t="str">
        <x:v>八仙洞遺址可見舊石器時代的生活線索，當時人們主要採集、狩獵，尚未發展農耕定居。</x:v>
      </x:c>
      <x:c r="Z18" s="34" t="str">
        <x:v>可疑中獎、轉帳或假包裹訊息可能是詐騙；不要急著付款，應利用 165 等正式管道查證。</x:v>
      </x:c>
      <x:c r="AA18" s="34" t="str">
        <x:v>遇到瑕疵商品可保留交易證明、向業者反映，並依消費者保護法或撥打 1950 尋求協助。</x:v>
      </x:c>
      <x:c r="AB18" s="34" t="str">
        <x:v>A</x:v>
      </x:c>
      <x:c r="AC18" s="34" t="str">
        <x:v>這項說明能直接支持「十三行遺址」，也補上題目背後的課本知識。</x:v>
      </x:c>
      <x:c r="AD18" s="34" t="str">
        <x:v>這項知識本身可能正確，但屬於其他單元，不能用來證明本題答案。</x:v>
      </x:c>
      <x:c r="AE18" s="34" t="str">
        <x:v>這段資料談的是另一個主題，和目前題幹缺少直接關係。</x:v>
      </x:c>
      <x:c r="AF18" s="34" t="str">
        <x:v>回到課本地圖、時間線或表格，找出能再次驗證這個答案的資料。</x:v>
      </x:c>
      <x:c r="AG18" s="34" t="str">
        <x:v>月考卷A</x:v>
      </x:c>
      <x:c r="AH18" s="34" t="str">
        <x:v>A01_5上社會月考卷_第一單元_教用_.pdf</x:v>
      </x:c>
      <x:c r="AI18" s="34" t="n">
        <x:v>5</x:v>
      </x:c>
    </x:row>
    <x:row r="19" ht="76" customHeight="1">
      <x:c r="A19" s="34" t="str">
        <x:v>5A-U1</x:v>
      </x:c>
      <x:c r="B19" s="34" t="str">
        <x:v>五上</x:v>
      </x:c>
      <x:c r="C19" s="34" t="n">
        <x:v>1</x:v>
      </x:c>
      <x:c r="D19" s="34" t="str">
        <x:v>臺灣！我來了</x:v>
      </x:c>
      <x:c r="E19" s="34" t="str">
        <x:v>5A-U1-PAPER</x:v>
      </x:c>
      <x:c r="F19" s="34" t="n">
        <x:v>15</x:v>
      </x:c>
      <x:c r="G19" s="34" t="str">
        <x:v>月考卷B</x:v>
      </x:c>
      <x:c r="H19" s="34" t="str">
        <x:v>「考古學家依照◇和製作方法等差異，將史前時期劃分為舊石器時期、新石器時期，以及金屬器時期。」上述的◇應該填入下列哪一項？</x:v>
      </x:c>
      <x:c r="I19" s="34" t="str">
        <x:v>文字形式</x:v>
      </x:c>
      <x:c r="J19" s="34" t="str">
        <x:v>住屋樣式</x:v>
      </x:c>
      <x:c r="K19" s="34" t="str">
        <x:v>器物材質</x:v>
      </x:c>
      <x:c r="L19" s="34" t="str">
        <x:v>貿易方式</x:v>
      </x:c>
      <x:c r="M19" s="34" t="str">
        <x:v>C</x:v>
      </x:c>
      <x:c r="N19" s="34" t="str">
        <x:v>器物材質</x:v>
      </x:c>
      <x:c r="O19" s="34" t="str">
        <x:v>抓住題幹的關鍵詞，再比較每個選項和課本內容是否相符。</x:v>
      </x:c>
      <x:c r="P19" s="34" t="str">
        <x:v>判斷重點不在字數，而在內容是否符合課本；答案是「器物材質」。八仙洞遺址可見舊石器時代的生活線索，當時人們主要採集、狩獵，尚未發展農耕定居。</x:v>
      </x:c>
      <x:c r="Q19" s="34" t="str">
        <x:v>選項「文字形式」混入了不同背景的資料。回看題幹，應選「器物材質」。八仙洞遺址可見舊石器時代的生活線索，當時人們主要採集、狩獵，尚未發展農耕定居。</x:v>
      </x:c>
      <x:c r="R19" s="34" t="str">
        <x:v>「住屋樣式」沒有符合題幹限定的條件。正確方向是「器物材質」；八仙洞遺址可見舊石器時代的生活線索，當時人們主要採集、狩獵，尚未發展農耕定居。</x:v>
      </x:c>
      <x:c r="S19" s="34" t="str">
        <x:v>沒錯，課本中的相關資料支持「器物材質」。八仙洞遺址可見舊石器時代的生活線索，當時人們主要採集、狩獵，尚未發展農耕定居。</x:v>
      </x:c>
      <x:c r="T19" s="34" t="str">
        <x:v>「貿易方式」是干擾資料，和本題線索對不上；請改從「器物材質」思考。八仙洞遺址可見舊石器時代的生活線索，當時人們主要採集、狩獵，尚未發展農耕定居。</x:v>
      </x:c>
      <x:c r="U19" s="34" t="str">
        <x:v>題幹條件配對錯誤</x:v>
      </x:c>
      <x:c r="V19" s="34" t="str">
        <x:v>題幹條件配對錯誤</x:v>
      </x:c>
      <x:c r="W19" s="34" t="str">
        <x:v>判斷正確</x:v>
      </x:c>
      <x:c r="X19" s="34" t="str">
        <x:v>題幹條件配對錯誤</x:v>
      </x:c>
      <x:c r="Y19" s="34" t="str">
        <x:v>八仙洞遺址可見舊石器時代的生活線索，當時人們主要採集、狩獵，尚未發展農耕定居。</x:v>
      </x:c>
      <x:c r="Z19" s="34" t="str">
        <x:v>投資報酬並不保證，風險是結果可能獲利也可能虧損；選擇前要評估自己能承受的損失。</x:v>
      </x:c>
      <x:c r="AA19" s="34" t="str">
        <x:v>遇到瑕疵商品可保留交易證明、向業者反映，並依消費者保護法或撥打 1950 尋求協助。</x:v>
      </x:c>
      <x:c r="AB19" s="34" t="str">
        <x:v>A</x:v>
      </x:c>
      <x:c r="AC19" s="34" t="str">
        <x:v>這項說明能直接支持「器物材質」，也補上題目背後的課本知識。</x:v>
      </x:c>
      <x:c r="AD19" s="34" t="str">
        <x:v>這項知識本身可能正確，但屬於其他單元，不能用來證明本題答案。</x:v>
      </x:c>
      <x:c r="AE19" s="34" t="str">
        <x:v>這段資料談的是另一個主題，和目前題幹缺少直接關係。</x:v>
      </x:c>
      <x:c r="AF19" s="34" t="str">
        <x:v>回到課本地圖、時間線或表格，找出能再次驗證這個答案的資料。</x:v>
      </x:c>
      <x:c r="AG19" s="34" t="str">
        <x:v>月考卷B</x:v>
      </x:c>
      <x:c r="AH19" s="34" t="str">
        <x:v>B01_5上社會月考卷_第一單元_教用_.pdf</x:v>
      </x:c>
      <x:c r="AI19" s="34" t="n">
        <x:v>6</x:v>
      </x:c>
    </x:row>
    <x:row r="20" ht="76" customHeight="1">
      <x:c r="A20" s="35" t="str">
        <x:v>5A-U2</x:v>
      </x:c>
      <x:c r="B20" s="35" t="str">
        <x:v>五上</x:v>
      </x:c>
      <x:c r="C20" s="35" t="n">
        <x:v>2</x:v>
      </x:c>
      <x:c r="D20" s="35" t="str">
        <x:v>島嶼上的生活樣貌</x:v>
      </x:c>
      <x:c r="E20" s="35" t="str">
        <x:v>5A-U2-PAPER</x:v>
      </x:c>
      <x:c r="F20" s="35" t="n">
        <x:v>1</x:v>
      </x:c>
      <x:c r="G20" s="35" t="str">
        <x:v>隨堂卷</x:v>
      </x:c>
      <x:c r="H20" s="35" t="str">
        <x:v>「娟娟今天在學校與班上同學吵架，所以心情不好。晚餐時，媽媽叮嚀娟娟要多吃蔬菜，娟娟突然大發脾氣，看到媽媽錯愕的表情，娟娟感到非常愧疚。」娟娟的行為違反了下列哪種社會規範？</x:v>
      </x:c>
      <x:c r="I20" s="35" t="str">
        <x:v>倫理道德</x:v>
      </x:c>
      <x:c r="J20" s="35" t="str">
        <x:v>法律</x:v>
      </x:c>
      <x:c r="K20" s="35" t="str">
        <x:v>宗教信仰</x:v>
      </x:c>
      <x:c r="L20" s="35" t="str">
        <x:v>風俗習慣</x:v>
      </x:c>
      <x:c r="M20" s="35" t="str">
        <x:v>A</x:v>
      </x:c>
      <x:c r="N20" s="35" t="str">
        <x:v>倫理道德</x:v>
      </x:c>
      <x:c r="O20" s="35" t="str">
        <x:v>想想這個情境要保護什麼權利，以及應使用哪個正式管道。</x:v>
      </x:c>
      <x:c r="P20" s="35" t="str">
        <x:v>關鍵答案是「倫理道德」。法律由國家制定並具有強制力，可維持秩序、保障權利；少年事件處理法重視未成年人的健全成長。</x:v>
      </x:c>
      <x:c r="Q20" s="35" t="str">
        <x:v>答對了，「倫理道德」和題幹線索相符。法律由國家制定並具有強制力，可維持秩序、保障權利；少年事件處理法重視未成年人的健全成長。</x:v>
      </x:c>
      <x:c r="R20" s="35" t="str">
        <x:v>先不要選「法律」。把人物、地點或概念重新配對後，應是「倫理道德」。法律由國家制定並具有強制力，可維持秩序、保障權利；少年事件處理法重視未成年人的健全成長。</x:v>
      </x:c>
      <x:c r="S20" s="35" t="str">
        <x:v>「宗教信仰」是干擾資料，和本題線索對不上；請改從「倫理道德」思考。法律由國家制定並具有強制力，可維持秩序、保障權利；少年事件處理法重視未成年人的健全成長。</x:v>
      </x:c>
      <x:c r="T20" s="35" t="str">
        <x:v>這題不是在找「風俗習慣」。對照課本後，「倫理道德」才符合題意。法律由國家制定並具有強制力，可維持秩序、保障權利；少年事件處理法重視未成年人的健全成長。</x:v>
      </x:c>
      <x:c r="U20" s="35" t="str">
        <x:v>判斷正確</x:v>
      </x:c>
      <x:c r="V20" s="35" t="str">
        <x:v>題幹條件配對錯誤</x:v>
      </x:c>
      <x:c r="W20" s="35" t="str">
        <x:v>題幹條件配對錯誤</x:v>
      </x:c>
      <x:c r="X20" s="35" t="str">
        <x:v>題幹條件配對錯誤</x:v>
      </x:c>
      <x:c r="Y20" s="35" t="str">
        <x:v>法律由國家制定並具有強制力，可維持秩序、保障權利；少年事件處理法重視未成年人的健全成長。</x:v>
      </x:c>
      <x:c r="Z20" s="35" t="str">
        <x:v>臺灣礦業曾帶動地方發展，但多數礦產逐漸停採；花蓮仍有大理石礦，瑞芳、九份過去則以煤或金礦聞名。</x:v>
      </x:c>
      <x:c r="AA20" s="35" t="str">
        <x:v>臺灣周邊海流交會，帶來多樣漁業資源；過度捕撈會使魚群減少，因此需要適當的取用與管理。</x:v>
      </x:c>
      <x:c r="AB20" s="35" t="str">
        <x:v>A</x:v>
      </x:c>
      <x:c r="AC20" s="35" t="str">
        <x:v>這項說明能直接支持「倫理道德」，也補上題目背後的課本知識。</x:v>
      </x:c>
      <x:c r="AD20" s="35" t="str">
        <x:v>這項知識本身可能正確，但屬於其他單元，不能用來證明本題答案。</x:v>
      </x:c>
      <x:c r="AE20" s="35" t="str">
        <x:v>這段資料談的是另一個主題，和目前題幹缺少直接關係。</x:v>
      </x:c>
      <x:c r="AF20" s="35" t="str">
        <x:v>回到課本地圖、時間線或表格，找出能再次驗證這個答案的資料。</x:v>
      </x:c>
      <x:c r="AG20" s="35" t="str">
        <x:v>隨堂卷</x:v>
      </x:c>
      <x:c r="AH20" s="35" t="str">
        <x:v>02_5上社會隨堂卷_第二單元島嶼上的生活樣貌_教用_.pdf</x:v>
      </x:c>
      <x:c r="AI20" s="35" t="n">
        <x:v>1</x:v>
      </x:c>
    </x:row>
    <x:row r="21" ht="76" customHeight="1">
      <x:c r="A21" s="35" t="str">
        <x:v>5A-U2</x:v>
      </x:c>
      <x:c r="B21" s="35" t="str">
        <x:v>五上</x:v>
      </x:c>
      <x:c r="C21" s="35" t="n">
        <x:v>2</x:v>
      </x:c>
      <x:c r="D21" s="35" t="str">
        <x:v>島嶼上的生活樣貌</x:v>
      </x:c>
      <x:c r="E21" s="35" t="str">
        <x:v>5A-U2-PAPER</x:v>
      </x:c>
      <x:c r="F21" s="35" t="n">
        <x:v>2</x:v>
      </x:c>
      <x:c r="G21" s="35" t="str">
        <x:v>月考卷A</x:v>
      </x:c>
      <x:c r="H21" s="35" t="str">
        <x:v>下列哪一個較不可能是漢人宗教信仰的神明？</x:v>
      </x:c>
      <x:c r="I21" s="35" t="str">
        <x:v>祭師</x:v>
      </x:c>
      <x:c r="J21" s="35" t="str">
        <x:v>三山國王</x:v>
      </x:c>
      <x:c r="K21" s="35" t="str">
        <x:v>開漳聖王</x:v>
      </x:c>
      <x:c r="L21" s="35" t="str">
        <x:v>土地公</x:v>
      </x:c>
      <x:c r="M21" s="35" t="str">
        <x:v>A</x:v>
      </x:c>
      <x:c r="N21" s="35" t="str">
        <x:v>祭師</x:v>
      </x:c>
      <x:c r="O21" s="35" t="str">
        <x:v>抓住題幹的關鍵詞，再比較每個選項和課本內容是否相符。</x:v>
      </x:c>
      <x:c r="P21" s="35" t="str">
        <x:v>依課本內容，這題應選「祭師」。社會規範包括風俗、倫理道德、宗教信仰與法律，不同規範的形成方式和強制力並不相同。</x:v>
      </x:c>
      <x:c r="Q21" s="35" t="str">
        <x:v>判斷正確！你找到了「祭師」這個關鍵。社會規範包括風俗、倫理道德、宗教信仰與法律，不同規範的形成方式和強制力並不相同。</x:v>
      </x:c>
      <x:c r="R21" s="35" t="str">
        <x:v>「三山國王」是干擾資料，和本題線索對不上；請改從「祭師」思考。社會規範包括風俗、倫理道德、宗教信仰與法律，不同規範的形成方式和強制力並不相同。</x:v>
      </x:c>
      <x:c r="S21" s="35" t="str">
        <x:v>這題不是在找「開漳聖王」。對照課本後，「祭師」才符合題意。社會規範包括風俗、倫理道德、宗教信仰與法律，不同規範的形成方式和強制力並不相同。</x:v>
      </x:c>
      <x:c r="T21" s="35" t="str">
        <x:v>選項「土地公」混入了不同背景的資料。回看題幹，應選「祭師」。社會規範包括風俗、倫理道德、宗教信仰與法律，不同規範的形成方式和強制力並不相同。</x:v>
      </x:c>
      <x:c r="U21" s="35" t="str">
        <x:v>判斷正確</x:v>
      </x:c>
      <x:c r="V21" s="35" t="str">
        <x:v>題幹條件配對錯誤</x:v>
      </x:c>
      <x:c r="W21" s="35" t="str">
        <x:v>題幹條件配對錯誤</x:v>
      </x:c>
      <x:c r="X21" s="35" t="str">
        <x:v>題幹條件配對錯誤</x:v>
      </x:c>
      <x:c r="Y21" s="35" t="str">
        <x:v>社會規範包括風俗、倫理道德、宗教信仰與法律，不同規範的形成方式和強制力並不相同。</x:v>
      </x:c>
      <x:c r="Z21" s="35" t="str">
        <x:v>資源產業轉型時，可透過生態旅遊或文化保存創造新機會，但仍須評估對地方與環境的影響。</x:v>
      </x:c>
      <x:c r="AA21" s="35" t="str">
        <x:v>臺灣周邊海流交會，帶來多樣漁業資源；過度捕撈會使魚群減少，因此需要適當的取用與管理。</x:v>
      </x:c>
      <x:c r="AB21" s="35" t="str">
        <x:v>A</x:v>
      </x:c>
      <x:c r="AC21" s="35" t="str">
        <x:v>這項說明能直接支持「祭師」，也補上題目背後的課本知識。</x:v>
      </x:c>
      <x:c r="AD21" s="35" t="str">
        <x:v>這項知識本身可能正確，但屬於其他單元，不能用來證明本題答案。</x:v>
      </x:c>
      <x:c r="AE21" s="35" t="str">
        <x:v>這段資料談的是另一個主題，和目前題幹缺少直接關係。</x:v>
      </x:c>
      <x:c r="AF21" s="35" t="str">
        <x:v>回到課本地圖、時間線或表格，找出能再次驗證這個答案的資料。</x:v>
      </x:c>
      <x:c r="AG21" s="35" t="str">
        <x:v>月考卷A</x:v>
      </x:c>
      <x:c r="AH21" s="35" t="str">
        <x:v>A02_5上社會月考卷_第二~三單元_教用_.pdf</x:v>
      </x:c>
      <x:c r="AI21" s="35" t="n">
        <x:v>1</x:v>
      </x:c>
    </x:row>
    <x:row r="22" ht="76" customHeight="1">
      <x:c r="A22" s="35" t="str">
        <x:v>5A-U2</x:v>
      </x:c>
      <x:c r="B22" s="35" t="str">
        <x:v>五上</x:v>
      </x:c>
      <x:c r="C22" s="35" t="n">
        <x:v>2</x:v>
      </x:c>
      <x:c r="D22" s="35" t="str">
        <x:v>島嶼上的生活樣貌</x:v>
      </x:c>
      <x:c r="E22" s="35" t="str">
        <x:v>5A-U2-PAPER</x:v>
      </x:c>
      <x:c r="F22" s="35" t="n">
        <x:v>3</x:v>
      </x:c>
      <x:c r="G22" s="35" t="str">
        <x:v>月考卷B</x:v>
      </x:c>
      <x:c r="H22" s="35" t="str">
        <x:v>位於新竹縣的新埔劉家祠，是下列哪一個族群的傳統建築？</x:v>
      </x:c>
      <x:c r="I22" s="35" t="str">
        <x:v>西班牙人</x:v>
      </x:c>
      <x:c r="J22" s="35" t="str">
        <x:v>日本人</x:v>
      </x:c>
      <x:c r="K22" s="35" t="str">
        <x:v>原住民族</x:v>
      </x:c>
      <x:c r="L22" s="35" t="str">
        <x:v>漢人</x:v>
      </x:c>
      <x:c r="M22" s="35" t="str">
        <x:v>D</x:v>
      </x:c>
      <x:c r="N22" s="35" t="str">
        <x:v>漢人</x:v>
      </x:c>
      <x:c r="O22" s="35" t="str">
        <x:v>先找題幹的方向或地點線索，再和課本地圖對照。</x:v>
      </x:c>
      <x:c r="P22" s="35" t="str">
        <x:v>把題幹線索和課本資料對照，可找到「漢人」。這題要分清族群文化、生活規範與法律的差異，並尊重資料所指的對象。</x:v>
      </x:c>
      <x:c r="Q22" s="35" t="str">
        <x:v>「西班牙人」是干擾資料，和本題線索對不上；請改從「漢人」思考。這題要分清族群文化、生活規範與法律的差異，並尊重資料所指的對象。</x:v>
      </x:c>
      <x:c r="R22" s="35" t="str">
        <x:v>這題不是在找「日本人」。對照課本後，「漢人」才符合題意。這題要分清族群文化、生活規範與法律的差異，並尊重資料所指的對象。</x:v>
      </x:c>
      <x:c r="S22" s="35" t="str">
        <x:v>選項「原住民族」混入了不同背景的資料。回看題幹，應選「漢人」。這題要分清族群文化、生活規範與法律的差異，並尊重資料所指的對象。</x:v>
      </x:c>
      <x:c r="T22" s="35" t="str">
        <x:v>沒錯，課本中的相關資料支持「漢人」。這題要分清族群文化、生活規範與法律的差異，並尊重資料所指的對象。</x:v>
      </x:c>
      <x:c r="U22" s="35" t="str">
        <x:v>題幹條件配對錯誤</x:v>
      </x:c>
      <x:c r="V22" s="35" t="str">
        <x:v>題幹條件配對錯誤</x:v>
      </x:c>
      <x:c r="W22" s="35" t="str">
        <x:v>題幹條件配對錯誤</x:v>
      </x:c>
      <x:c r="X22" s="35" t="str">
        <x:v>判斷正確</x:v>
      </x:c>
      <x:c r="Y22" s="35" t="str">
        <x:v>這題要分清族群文化、生活規範與法律的差異，並尊重資料所指的對象。</x:v>
      </x:c>
      <x:c r="Z22" s="35" t="str">
        <x:v>大航海時代的航海者為臺灣留下不同稱呼；馬尼拉是菲律賓城市，並不是臺灣的舊稱。</x:v>
      </x:c>
      <x:c r="AA22" s="35" t="str">
        <x:v>荷蘭人曾以臺灣南部為據點，經營貿易、傳教並課徵稅收；熱蘭遮堡是重要據點。</x:v>
      </x:c>
      <x:c r="AB22" s="35" t="str">
        <x:v>A</x:v>
      </x:c>
      <x:c r="AC22" s="35" t="str">
        <x:v>這項說明能直接支持「漢人」，也補上題目背後的課本知識。</x:v>
      </x:c>
      <x:c r="AD22" s="35" t="str">
        <x:v>這項知識本身可能正確，但屬於其他單元，不能用來證明本題答案。</x:v>
      </x:c>
      <x:c r="AE22" s="35" t="str">
        <x:v>這段資料談的是另一個主題，和目前題幹缺少直接關係。</x:v>
      </x:c>
      <x:c r="AF22" s="35" t="str">
        <x:v>回到課本地圖、時間線或表格，找出能再次驗證這個答案的資料。</x:v>
      </x:c>
      <x:c r="AG22" s="35" t="str">
        <x:v>月考卷B</x:v>
      </x:c>
      <x:c r="AH22" s="35" t="str">
        <x:v>B02_5上社會月考卷_第二~三單元_教用_.pdf</x:v>
      </x:c>
      <x:c r="AI22" s="35" t="n">
        <x:v>3</x:v>
      </x:c>
    </x:row>
    <x:row r="23" ht="76" customHeight="1">
      <x:c r="A23" s="35" t="str">
        <x:v>5A-U2</x:v>
      </x:c>
      <x:c r="B23" s="35" t="str">
        <x:v>五上</x:v>
      </x:c>
      <x:c r="C23" s="35" t="n">
        <x:v>2</x:v>
      </x:c>
      <x:c r="D23" s="35" t="str">
        <x:v>島嶼上的生活樣貌</x:v>
      </x:c>
      <x:c r="E23" s="35" t="str">
        <x:v>5A-U2-PAPER</x:v>
      </x:c>
      <x:c r="F23" s="35" t="n">
        <x:v>4</x:v>
      </x:c>
      <x:c r="G23" s="35" t="str">
        <x:v>隨堂卷</x:v>
      </x:c>
      <x:c r="H23" s="35" t="str">
        <x:v>爺爺告訴正豪到廟裡拜拜時要虔誠，才能獲得神明的庇佑。上述是遵守下列哪一種社會規範的表現？</x:v>
      </x:c>
      <x:c r="I23" s="35" t="str">
        <x:v>法律</x:v>
      </x:c>
      <x:c r="J23" s="35" t="str">
        <x:v>風俗習慣</x:v>
      </x:c>
      <x:c r="K23" s="35" t="str">
        <x:v>宗教信仰</x:v>
      </x:c>
      <x:c r="L23" s="35" t="str">
        <x:v>倫理道德</x:v>
      </x:c>
      <x:c r="M23" s="35" t="str">
        <x:v>C</x:v>
      </x:c>
      <x:c r="N23" s="35" t="str">
        <x:v>宗教信仰</x:v>
      </x:c>
      <x:c r="O23" s="35" t="str">
        <x:v>想想這個情境要保護什麼權利，以及應使用哪個正式管道。</x:v>
      </x:c>
      <x:c r="P23" s="35" t="str">
        <x:v>「宗教信仰」最符合題目所問的時間、地點或概念。法律由國家制定並具有強制力，可維持秩序、保障權利；少年事件處理法重視未成年人的健全成長。</x:v>
      </x:c>
      <x:c r="Q23" s="35" t="str">
        <x:v>這題不是在找「法律」。對照課本後，「宗教信仰」才符合題意。法律由國家制定並具有強制力，可維持秩序、保障權利；少年事件處理法重視未成年人的健全成長。</x:v>
      </x:c>
      <x:c r="R23" s="35" t="str">
        <x:v>選項「風俗習慣」混入了不同背景的資料。回看題幹，應選「宗教信仰」。法律由國家制定並具有強制力，可維持秩序、保障權利；少年事件處理法重視未成年人的健全成長。</x:v>
      </x:c>
      <x:c r="S23" s="35" t="str">
        <x:v>這項選擇成立；「宗教信仰」符合題目要求。法律由國家制定並具有強制力，可維持秩序、保障權利；少年事件處理法重視未成年人的健全成長。</x:v>
      </x:c>
      <x:c r="T23" s="35" t="str">
        <x:v>先不要選「倫理道德」。把人物、地點或概念重新配對後，應是「宗教信仰」。法律由國家制定並具有強制力，可維持秩序、保障權利；少年事件處理法重視未成年人的健全成長。</x:v>
      </x:c>
      <x:c r="U23" s="35" t="str">
        <x:v>題幹條件配對錯誤</x:v>
      </x:c>
      <x:c r="V23" s="35" t="str">
        <x:v>題幹條件配對錯誤</x:v>
      </x:c>
      <x:c r="W23" s="35" t="str">
        <x:v>判斷正確</x:v>
      </x:c>
      <x:c r="X23" s="35" t="str">
        <x:v>題幹條件配對錯誤</x:v>
      </x:c>
      <x:c r="Y23" s="35" t="str">
        <x:v>法律由國家制定並具有強制力，可維持秩序、保障權利；少年事件處理法重視未成年人的健全成長。</x:v>
      </x:c>
      <x:c r="Z23" s="35" t="str">
        <x:v>這題要核對大航海時代的人物、地點與事件先後。</x:v>
      </x:c>
      <x:c r="AA23" s="35" t="str">
        <x:v>荷蘭人曾以臺灣南部為據點，經營貿易、傳教並課徵稅收；熱蘭遮堡是重要據點。</x:v>
      </x:c>
      <x:c r="AB23" s="35" t="str">
        <x:v>A</x:v>
      </x:c>
      <x:c r="AC23" s="35" t="str">
        <x:v>這項說明能直接支持「宗教信仰」，也補上題目背後的課本知識。</x:v>
      </x:c>
      <x:c r="AD23" s="35" t="str">
        <x:v>這項知識本身可能正確，但屬於其他單元，不能用來證明本題答案。</x:v>
      </x:c>
      <x:c r="AE23" s="35" t="str">
        <x:v>這段資料談的是另一個主題，和目前題幹缺少直接關係。</x:v>
      </x:c>
      <x:c r="AF23" s="35" t="str">
        <x:v>回到課本地圖、時間線或表格，找出能再次驗證這個答案的資料。</x:v>
      </x:c>
      <x:c r="AG23" s="35" t="str">
        <x:v>隨堂卷</x:v>
      </x:c>
      <x:c r="AH23" s="35" t="str">
        <x:v>02_5上社會隨堂卷_第二單元島嶼上的生活樣貌_教用_.pdf</x:v>
      </x:c>
      <x:c r="AI23" s="35" t="n">
        <x:v>2</x:v>
      </x:c>
    </x:row>
    <x:row r="24" ht="76" customHeight="1">
      <x:c r="A24" s="35" t="str">
        <x:v>5A-U2</x:v>
      </x:c>
      <x:c r="B24" s="35" t="str">
        <x:v>五上</x:v>
      </x:c>
      <x:c r="C24" s="35" t="n">
        <x:v>2</x:v>
      </x:c>
      <x:c r="D24" s="35" t="str">
        <x:v>島嶼上的生活樣貌</x:v>
      </x:c>
      <x:c r="E24" s="35" t="str">
        <x:v>5A-U2-PAPER</x:v>
      </x:c>
      <x:c r="F24" s="35" t="n">
        <x:v>5</x:v>
      </x:c>
      <x:c r="G24" s="35" t="str">
        <x:v>月考卷A</x:v>
      </x:c>
      <x:c r="H24" s="35" t="str">
        <x:v>下列有關「平埔族群」的敘述，哪一項錯誤？</x:v>
      </x:c>
      <x:c r="I24" s="35" t="str">
        <x:v>大多分布於西部</x:v>
      </x:c>
      <x:c r="J24" s="35" t="str">
        <x:v>與漢人接觸比山地地區原住民族晚</x:v>
      </x:c>
      <x:c r="K24" s="35" t="str">
        <x:v>長期與漢人通婚</x:v>
      </x:c>
      <x:c r="L24" s="35" t="str">
        <x:v>風俗習慣大多與漢人文化相融</x:v>
      </x:c>
      <x:c r="M24" s="35" t="str">
        <x:v>B</x:v>
      </x:c>
      <x:c r="N24" s="35" t="str">
        <x:v>與漢人接觸比山地地區原住民族晚</x:v>
      </x:c>
      <x:c r="O24" s="35" t="str">
        <x:v>先圈出題幹中的否定詞，再逐一檢查四個選項。</x:v>
      </x:c>
      <x:c r="P24" s="35" t="str">
        <x:v>判斷重點不在字數，而在內容是否符合課本；答案是「與漢人接觸比山地地區原住民族晚」。平埔族群多居住在西部平原，因較早且頻繁與漢人接觸，部分文化受到漢化政策與社會變遷影響。</x:v>
      </x:c>
      <x:c r="Q24" s="35" t="str">
        <x:v>選項「大多分布於西部」混入了不同背景的資料。回看題幹，應選「與漢人接觸比山地地區原住民族晚」。平埔族群多居住在西部平原，因較早且頻繁與漢人接觸，部分文化受到漢化政策與社會變遷影響。</x:v>
      </x:c>
      <x:c r="R24" s="35" t="str">
        <x:v>答對了，「與漢人接觸比山地地區原住民族晚」和題幹線索相符。平埔族群多居住在西部平原，因較早且頻繁與漢人接觸，部分文化受到漢化政策與社會變遷影響。</x:v>
      </x:c>
      <x:c r="S24" s="35" t="str">
        <x:v>先不要選「長期與漢人通婚」。把人物、地點或概念重新配對後，應是「與漢人接觸比山地地區原住民族晚」。平埔族群多居住在西部平原，因較早且頻繁與漢人接觸，部分文化受到漢化政策與社會變遷影響。</x:v>
      </x:c>
      <x:c r="T24" s="35" t="str">
        <x:v>「風俗習慣大多與漢人文化相融」是干擾資料，和本題線索對不上；請改從「與漢人接觸比山地地區原住民族晚」思考。平埔族群多居住在西部平原，因較早且頻繁與漢人接觸，部分文化受到漢化政策與社會變遷影響。</x:v>
      </x:c>
      <x:c r="U24" s="35" t="str">
        <x:v>題幹條件配對錯誤</x:v>
      </x:c>
      <x:c r="V24" s="35" t="str">
        <x:v>判斷正確</x:v>
      </x:c>
      <x:c r="W24" s="35" t="str">
        <x:v>題幹條件配對錯誤</x:v>
      </x:c>
      <x:c r="X24" s="35" t="str">
        <x:v>題幹條件配對錯誤</x:v>
      </x:c>
      <x:c r="Y24" s="35" t="str">
        <x:v>平埔族群多居住在西部平原，因較早且頻繁與漢人接觸，部分文化受到漢化政策與社會變遷影響。</x:v>
      </x:c>
      <x:c r="Z24" s="35" t="str">
        <x:v>清代開墾需要穩定水源，因此各地興建水圳並建立分水、維修規則；瑠公圳位於北部。</x:v>
      </x:c>
      <x:c r="AA24" s="35" t="str">
        <x:v>這題要從清代移民、開墾、族群互動與地方生活的背景判斷。</x:v>
      </x:c>
      <x:c r="AB24" s="35" t="str">
        <x:v>A</x:v>
      </x:c>
      <x:c r="AC24" s="35" t="str">
        <x:v>這項說明能直接支持「與漢人接觸比山地地區原住民族晚」，也補上題目背後的課本知識。</x:v>
      </x:c>
      <x:c r="AD24" s="35" t="str">
        <x:v>這項知識本身可能正確，但屬於其他單元，不能用來證明本題答案。</x:v>
      </x:c>
      <x:c r="AE24" s="35" t="str">
        <x:v>這段資料談的是另一個主題，和目前題幹缺少直接關係。</x:v>
      </x:c>
      <x:c r="AF24" s="35" t="str">
        <x:v>回到課本地圖、時間線或表格，找出能再次驗證這個答案的資料。</x:v>
      </x:c>
      <x:c r="AG24" s="35" t="str">
        <x:v>月考卷A</x:v>
      </x:c>
      <x:c r="AH24" s="35" t="str">
        <x:v>A02_5上社會月考卷_第二~三單元_教用_.pdf</x:v>
      </x:c>
      <x:c r="AI24" s="35" t="n">
        <x:v>5</x:v>
      </x:c>
    </x:row>
    <x:row r="25" ht="76" customHeight="1">
      <x:c r="A25" s="35" t="str">
        <x:v>5A-U2</x:v>
      </x:c>
      <x:c r="B25" s="35" t="str">
        <x:v>五上</x:v>
      </x:c>
      <x:c r="C25" s="35" t="n">
        <x:v>2</x:v>
      </x:c>
      <x:c r="D25" s="35" t="str">
        <x:v>島嶼上的生活樣貌</x:v>
      </x:c>
      <x:c r="E25" s="35" t="str">
        <x:v>5A-U2-PAPER</x:v>
      </x:c>
      <x:c r="F25" s="35" t="n">
        <x:v>6</x:v>
      </x:c>
      <x:c r="G25" s="35" t="str">
        <x:v>隨堂卷</x:v>
      </x:c>
      <x:c r="H25" s="35" t="str">
        <x:v>早期漢人宗族組織的功能，不包括下列哪一項？</x:v>
      </x:c>
      <x:c r="I25" s="35" t="str">
        <x:v>規畫年節祭祖活動</x:v>
      </x:c>
      <x:c r="J25" s="35" t="str">
        <x:v>教授原住民族打獵技巧</x:v>
      </x:c>
      <x:c r="K25" s="35" t="str">
        <x:v>維護家族成員的利益</x:v>
      </x:c>
      <x:c r="L25" s="35" t="str">
        <x:v>維持地方秩序</x:v>
      </x:c>
      <x:c r="M25" s="35" t="str">
        <x:v>B</x:v>
      </x:c>
      <x:c r="N25" s="35" t="str">
        <x:v>教授原住民族打獵技巧</x:v>
      </x:c>
      <x:c r="O25" s="35" t="str">
        <x:v>抓住題幹的關鍵詞，再比較每個選項和課本內容是否相符。</x:v>
      </x:c>
      <x:c r="P25" s="35" t="str">
        <x:v>關鍵答案是「教授原住民族打獵技巧」。這題要分清族群文化、生活規範與法律的差異，並尊重資料所指的對象。</x:v>
      </x:c>
      <x:c r="Q25" s="35" t="str">
        <x:v>「規畫年節祭祖活動」沒有符合題幹限定的條件。正確方向是「教授原住民族打獵技巧」；這題要分清族群文化、生活規範與法律的差異，並尊重資料所指的對象。</x:v>
      </x:c>
      <x:c r="R25" s="35" t="str">
        <x:v>判斷正確！你找到了「教授原住民族打獵技巧」這個關鍵。這題要分清族群文化、生活規範與法律的差異，並尊重資料所指的對象。</x:v>
      </x:c>
      <x:c r="S25" s="35" t="str">
        <x:v>「維護家族成員的利益」是干擾資料，和本題線索對不上；請改從「教授原住民族打獵技巧」思考。這題要分清族群文化、生活規範與法律的差異，並尊重資料所指的對象。</x:v>
      </x:c>
      <x:c r="T25" s="35" t="str">
        <x:v>這題不是在找「維持地方秩序」。對照課本後，「教授原住民族打獵技巧」才符合題意。這題要分清族群文化、生活規範與法律的差異，並尊重資料所指的對象。</x:v>
      </x:c>
      <x:c r="U25" s="35" t="str">
        <x:v>題幹條件配對錯誤</x:v>
      </x:c>
      <x:c r="V25" s="35" t="str">
        <x:v>判斷正確</x:v>
      </x:c>
      <x:c r="W25" s="35" t="str">
        <x:v>題幹條件配對錯誤</x:v>
      </x:c>
      <x:c r="X25" s="35" t="str">
        <x:v>題幹條件配對錯誤</x:v>
      </x:c>
      <x:c r="Y25" s="35" t="str">
        <x:v>這題要分清族群文化、生活規範與法律的差異，並尊重資料所指的對象。</x:v>
      </x:c>
      <x:c r="Z25" s="35" t="str">
        <x:v>早期漢人渡過臺灣海峽來臺，航程受到季風、海象與船隻條件影響；『黑水溝』常指澎湖與臺灣島間的危險水域。</x:v>
      </x:c>
      <x:c r="AA25" s="35" t="str">
        <x:v>清代移民有不同原鄉與群體，資源競爭有時引發分類械鬥；芝山岩隘門與漳、泉衝突有關。</x:v>
      </x:c>
      <x:c r="AB25" s="35" t="str">
        <x:v>A</x:v>
      </x:c>
      <x:c r="AC25" s="35" t="str">
        <x:v>這項說明能直接支持「教授原住民族打獵技巧」，也補上題目背後的課本知識。</x:v>
      </x:c>
      <x:c r="AD25" s="35" t="str">
        <x:v>這項知識本身可能正確，但屬於其他單元，不能用來證明本題答案。</x:v>
      </x:c>
      <x:c r="AE25" s="35" t="str">
        <x:v>這段資料談的是另一個主題，和目前題幹缺少直接關係。</x:v>
      </x:c>
      <x:c r="AF25" s="35" t="str">
        <x:v>回到課本地圖、時間線或表格，找出能再次驗證這個答案的資料。</x:v>
      </x:c>
      <x:c r="AG25" s="35" t="str">
        <x:v>隨堂卷</x:v>
      </x:c>
      <x:c r="AH25" s="35" t="str">
        <x:v>02_5上社會隨堂卷_第二單元島嶼上的生活樣貌_教用_.pdf</x:v>
      </x:c>
      <x:c r="AI25" s="35" t="n">
        <x:v>3</x:v>
      </x:c>
    </x:row>
    <x:row r="26" ht="76" customHeight="1">
      <x:c r="A26" s="35" t="str">
        <x:v>5A-U2</x:v>
      </x:c>
      <x:c r="B26" s="35" t="str">
        <x:v>五上</x:v>
      </x:c>
      <x:c r="C26" s="35" t="n">
        <x:v>2</x:v>
      </x:c>
      <x:c r="D26" s="35" t="str">
        <x:v>島嶼上的生活樣貌</x:v>
      </x:c>
      <x:c r="E26" s="35" t="str">
        <x:v>5A-U2-PAPER</x:v>
      </x:c>
      <x:c r="F26" s="35" t="n">
        <x:v>7</x:v>
      </x:c>
      <x:c r="G26" s="35" t="str">
        <x:v>月考卷A</x:v>
      </x:c>
      <x:c r="H26" s="35" t="str">
        <x:v>少年是指未滿18歲的未成年人，下列選項中哪一位不會受到少年事件處理法的保障？</x:v>
      </x:c>
      <x:c r="I26" s="35" t="str">
        <x:v>就讀小學三年級的秉佑</x:v>
      </x:c>
      <x:c r="J26" s="35" t="str">
        <x:v>就讀博士班的亞欣</x:v>
      </x:c>
      <x:c r="K26" s="35" t="str">
        <x:v>剛從國中畢業的如芳</x:v>
      </x:c>
      <x:c r="L26" s="35" t="str">
        <x:v>剛考上高中的文成</x:v>
      </x:c>
      <x:c r="M26" s="35" t="str">
        <x:v>B</x:v>
      </x:c>
      <x:c r="N26" s="35" t="str">
        <x:v>就讀博士班的亞欣</x:v>
      </x:c>
      <x:c r="O26" s="35" t="str">
        <x:v>把人物和他參與的事件、政策或地點配對。</x:v>
      </x:c>
      <x:c r="P26" s="35" t="str">
        <x:v>依課本內容，這題應選「就讀博士班的亞欣」。法律由國家制定並具有強制力，可維持秩序、保障權利；少年事件處理法重視未成年人的健全成長。</x:v>
      </x:c>
      <x:c r="Q26" s="35" t="str">
        <x:v>先不要選「就讀小學三年級的秉佑」。把人物、地點或概念重新配對後，應是「就讀博士班的亞欣」。法律由國家制定並具有強制力，可維持秩序、保障權利；少年事件處理法重視未成年人的健全成長。</x:v>
      </x:c>
      <x:c r="R26" s="35" t="str">
        <x:v>沒錯，課本中的相關資料支持「就讀博士班的亞欣」。法律由國家制定並具有強制力，可維持秩序、保障權利；少年事件處理法重視未成年人的健全成長。</x:v>
      </x:c>
      <x:c r="S26" s="35" t="str">
        <x:v>這題不是在找「剛從國中畢業的如芳」。對照課本後，「就讀博士班的亞欣」才符合題意。法律由國家制定並具有強制力，可維持秩序、保障權利；少年事件處理法重視未成年人的健全成長。</x:v>
      </x:c>
      <x:c r="T26" s="35" t="str">
        <x:v>選項「剛考上高中的文成」混入了不同背景的資料。回看題幹，應選「就讀博士班的亞欣」。法律由國家制定並具有強制力，可維持秩序、保障權利；少年事件處理法重視未成年人的健全成長。</x:v>
      </x:c>
      <x:c r="U26" s="35" t="str">
        <x:v>題幹條件配對錯誤</x:v>
      </x:c>
      <x:c r="V26" s="35" t="str">
        <x:v>判斷正確</x:v>
      </x:c>
      <x:c r="W26" s="35" t="str">
        <x:v>題幹條件配對錯誤</x:v>
      </x:c>
      <x:c r="X26" s="35" t="str">
        <x:v>題幹條件配對錯誤</x:v>
      </x:c>
      <x:c r="Y26" s="35" t="str">
        <x:v>法律由國家制定並具有強制力，可維持秩序、保障權利；少年事件處理法重視未成年人的健全成長。</x:v>
      </x:c>
      <x:c r="Z26" s="35" t="str">
        <x:v>劉銘傳是臺灣建省後的首任巡撫，推動鐵路、電報等建設；清法戰爭期間也加強淡水防務。</x:v>
      </x:c>
      <x:c r="AA26" s="35" t="str">
        <x:v>牡丹社事件後，清廷更重視臺灣防務與治理，逐步採取開山撫番並廢除渡臺限制等政策。</x:v>
      </x:c>
      <x:c r="AB26" s="35" t="str">
        <x:v>A</x:v>
      </x:c>
      <x:c r="AC26" s="35" t="str">
        <x:v>這項說明能直接支持「就讀博士班的亞欣」，也補上題目背後的課本知識。</x:v>
      </x:c>
      <x:c r="AD26" s="35" t="str">
        <x:v>這項知識本身可能正確，但屬於其他單元，不能用來證明本題答案。</x:v>
      </x:c>
      <x:c r="AE26" s="35" t="str">
        <x:v>這段資料談的是另一個主題，和目前題幹缺少直接關係。</x:v>
      </x:c>
      <x:c r="AF26" s="35" t="str">
        <x:v>回到課本地圖、時間線或表格，找出能再次驗證這個答案的資料。</x:v>
      </x:c>
      <x:c r="AG26" s="35" t="str">
        <x:v>月考卷A</x:v>
      </x:c>
      <x:c r="AH26" s="35" t="str">
        <x:v>A02_5上社會月考卷_第二~三單元_教用_.pdf</x:v>
      </x:c>
      <x:c r="AI26" s="35" t="n">
        <x:v>8</x:v>
      </x:c>
    </x:row>
    <x:row r="27" ht="76" customHeight="1">
      <x:c r="A27" s="35" t="str">
        <x:v>5A-U2</x:v>
      </x:c>
      <x:c r="B27" s="35" t="str">
        <x:v>五上</x:v>
      </x:c>
      <x:c r="C27" s="35" t="n">
        <x:v>2</x:v>
      </x:c>
      <x:c r="D27" s="35" t="str">
        <x:v>島嶼上的生活樣貌</x:v>
      </x:c>
      <x:c r="E27" s="35" t="str">
        <x:v>5A-U2-PAPER</x:v>
      </x:c>
      <x:c r="F27" s="35" t="n">
        <x:v>8</x:v>
      </x:c>
      <x:c r="G27" s="35" t="str">
        <x:v>月考卷B</x:v>
      </x:c>
      <x:c r="H27" s="35" t="str">
        <x:v>下列有關原住民族信仰與制度的敘述，哪一項錯誤？</x:v>
      </x:c>
      <x:c r="I27" s="35" t="str">
        <x:v>相信萬物有靈</x:v>
      </x:c>
      <x:c r="J27" s="35" t="str">
        <x:v>卑南族屬於母系社會</x:v>
      </x:c>
      <x:c r="K27" s="35" t="str">
        <x:v>透過口述傳承生活禁忌</x:v>
      </x:c>
      <x:c r="L27" s="35" t="str">
        <x:v>會舉辦繞境等祭祀活動</x:v>
      </x:c>
      <x:c r="M27" s="35" t="str">
        <x:v>D</x:v>
      </x:c>
      <x:c r="N27" s="35" t="str">
        <x:v>會舉辦繞境等祭祀活動</x:v>
      </x:c>
      <x:c r="O27" s="35" t="str">
        <x:v>先圈出題幹中的否定詞，再逐一檢查四個選項。</x:v>
      </x:c>
      <x:c r="P27" s="35" t="str">
        <x:v>把題幹線索和課本資料對照，可找到「會舉辦繞境等祭祀活動」。阿美族傳統社會具有母系特色，家族與財產傳承常以女性為重要核心。</x:v>
      </x:c>
      <x:c r="Q27" s="35" t="str">
        <x:v>「相信萬物有靈」是干擾資料，和本題線索對不上；請改從「會舉辦繞境等祭祀活動」思考。阿美族傳統社會具有母系特色，家族與財產傳承常以女性為重要核心。</x:v>
      </x:c>
      <x:c r="R27" s="35" t="str">
        <x:v>這題不是在找「卑南族屬於母系社會」。對照課本後，「會舉辦繞境等祭祀活動」才符合題意。阿美族傳統社會具有母系特色，家族與財產傳承常以女性為重要核心。</x:v>
      </x:c>
      <x:c r="S27" s="35" t="str">
        <x:v>選項「透過口述傳承生活禁忌」混入了不同背景的資料。回看題幹，應選「會舉辦繞境等祭祀活動」。阿美族傳統社會具有母系特色，家族與財產傳承常以女性為重要核心。</x:v>
      </x:c>
      <x:c r="T27" s="35" t="str">
        <x:v>這項選擇成立；「會舉辦繞境等祭祀活動」符合題目要求。阿美族傳統社會具有母系特色，家族與財產傳承常以女性為重要核心。</x:v>
      </x:c>
      <x:c r="U27" s="35" t="str">
        <x:v>題幹條件配對錯誤</x:v>
      </x:c>
      <x:c r="V27" s="35" t="str">
        <x:v>題幹條件配對錯誤</x:v>
      </x:c>
      <x:c r="W27" s="35" t="str">
        <x:v>題幹條件配對錯誤</x:v>
      </x:c>
      <x:c r="X27" s="35" t="str">
        <x:v>判斷正確</x:v>
      </x:c>
      <x:c r="Y27" s="35" t="str">
        <x:v>阿美族傳統社會具有母系特色，家族與財產傳承常以女性為重要核心。</x:v>
      </x:c>
      <x:c r="Z27" s="35" t="str">
        <x:v>開港後茶葉等商品從北部輸出，帶動大稻埕與北部港市發展，也使經濟重心逐漸北移。</x:v>
      </x:c>
      <x:c r="AA27" s="35" t="str">
        <x:v>劉銘傳是臺灣建省後的首任巡撫，推動鐵路、電報等建設；清法戰爭期間也加強淡水防務。</x:v>
      </x:c>
      <x:c r="AB27" s="35" t="str">
        <x:v>A</x:v>
      </x:c>
      <x:c r="AC27" s="35" t="str">
        <x:v>這項說明能直接支持「會舉辦繞境等祭祀活動」，也補上題目背後的課本知識。</x:v>
      </x:c>
      <x:c r="AD27" s="35" t="str">
        <x:v>這項知識本身可能正確，但屬於其他單元，不能用來證明本題答案。</x:v>
      </x:c>
      <x:c r="AE27" s="35" t="str">
        <x:v>這段資料談的是另一個主題，和目前題幹缺少直接關係。</x:v>
      </x:c>
      <x:c r="AF27" s="35" t="str">
        <x:v>回到課本地圖、時間線或表格，找出能再次驗證這個答案的資料。</x:v>
      </x:c>
      <x:c r="AG27" s="35" t="str">
        <x:v>月考卷B</x:v>
      </x:c>
      <x:c r="AH27" s="35" t="str">
        <x:v>B02_5上社會月考卷_第二~三單元_教用_.pdf</x:v>
      </x:c>
      <x:c r="AI27" s="35" t="n">
        <x:v>6</x:v>
      </x:c>
    </x:row>
    <x:row r="28" ht="76" customHeight="1">
      <x:c r="A28" s="35" t="str">
        <x:v>5A-U2</x:v>
      </x:c>
      <x:c r="B28" s="35" t="str">
        <x:v>五上</x:v>
      </x:c>
      <x:c r="C28" s="35" t="n">
        <x:v>2</x:v>
      </x:c>
      <x:c r="D28" s="35" t="str">
        <x:v>島嶼上的生活樣貌</x:v>
      </x:c>
      <x:c r="E28" s="35" t="str">
        <x:v>5A-U2-PAPER</x:v>
      </x:c>
      <x:c r="F28" s="35" t="n">
        <x:v>9</x:v>
      </x:c>
      <x:c r="G28" s="35" t="str">
        <x:v>月考卷A</x:v>
      </x:c>
      <x:c r="H28" s="35" t="str">
        <x:v>下列關於早期來臺漢人移民宗教信仰和宗族組織的敘述，哪一項錯誤？</x:v>
      </x:c>
      <x:c r="I28" s="35" t="str">
        <x:v>會將家鄉廟宇的神像奉請來臺</x:v>
      </x:c>
      <x:c r="J28" s="35" t="str">
        <x:v>同姓的族群常聚居在一起，形成宗族組織</x:v>
      </x:c>
      <x:c r="K28" s="35" t="str">
        <x:v>「庫巴」為男子集會所，用於討論宗族事務</x:v>
      </x:c>
      <x:c r="L28" s="35" t="str">
        <x:v>廟宇是社區重要的信仰與活動中心</x:v>
      </x:c>
      <x:c r="M28" s="35" t="str">
        <x:v>C</x:v>
      </x:c>
      <x:c r="N28" s="35" t="str">
        <x:v>「庫巴」為男子集會所，用於討論宗族事務</x:v>
      </x:c>
      <x:c r="O28" s="35" t="str">
        <x:v>先圈出題幹中的否定詞，再逐一檢查四個選項。</x:v>
      </x:c>
      <x:c r="P28" s="35" t="str">
        <x:v>「「庫巴」為男子集會所，用於討論宗族事務」最符合題目所問的時間、地點或概念。社會規範包括風俗、倫理道德、宗教信仰與法律，不同規範的形成方式和強制力並不相同。</x:v>
      </x:c>
      <x:c r="Q28" s="35" t="str">
        <x:v>這題不是在找「會將家鄉廟宇的神像奉請來臺」。對照課本後，「「庫巴」為男子集會所，用於討論宗族事務」才符合題意。社會規範包括風俗、倫理道德、宗教信仰與法律，不同規範的形成方式和強制力並不相同。</x:v>
      </x:c>
      <x:c r="R28" s="35" t="str">
        <x:v>選項「同姓的族群常聚居在一起，形成宗族組織」混入了不同背景的資料。回看題幹，應選「「庫巴」為男子集會所，用於討論宗族事務」。社會規範包括風俗、倫理道德、宗教信仰與法律，不同規範的形成方式和強制力並不相同。</x:v>
      </x:c>
      <x:c r="S28" s="35" t="str">
        <x:v>答對了，「「庫巴」為男子集會所，用於討論宗族事務」和題幹線索相符。社會規範包括風俗、倫理道德、宗教信仰與法律，不同規範的形成方式和強制力並不相同。</x:v>
      </x:c>
      <x:c r="T28" s="35" t="str">
        <x:v>先不要選「廟宇是社區重要的信仰與活動中心」。把人物、地點或概念重新配對後，應是「「庫巴」為男子集會所，用於討論宗族事務」。社會規範包括風俗、倫理道德、宗教信仰與法律，不同規範的形成方式和強制力並不相同。</x:v>
      </x:c>
      <x:c r="U28" s="35" t="str">
        <x:v>題幹條件配對錯誤</x:v>
      </x:c>
      <x:c r="V28" s="35" t="str">
        <x:v>題幹條件配對錯誤</x:v>
      </x:c>
      <x:c r="W28" s="35" t="str">
        <x:v>判斷正確</x:v>
      </x:c>
      <x:c r="X28" s="35" t="str">
        <x:v>題幹條件配對錯誤</x:v>
      </x:c>
      <x:c r="Y28" s="35" t="str">
        <x:v>社會規範包括風俗、倫理道德、宗教信仰與法律，不同規範的形成方式和強制力並不相同。</x:v>
      </x:c>
      <x:c r="Z28" s="35" t="str">
        <x:v>這題要比較發電方式的條件、限制與對居民或環境的影響。</x:v>
      </x:c>
      <x:c r="AA28" s="35" t="str">
        <x:v>火力發電依靠煤、石油或天然氣等燃料，不屬於再生能源；再生能源則可在自然循環中持續補充。</x:v>
      </x:c>
      <x:c r="AB28" s="35" t="str">
        <x:v>A</x:v>
      </x:c>
      <x:c r="AC28" s="35" t="str">
        <x:v>這項說明能直接支持「「庫巴」為男子集會所，用於討論宗族事務」，也補上題目背後的課本知識。</x:v>
      </x:c>
      <x:c r="AD28" s="35" t="str">
        <x:v>這項知識本身可能正確，但屬於其他單元，不能用來證明本題答案。</x:v>
      </x:c>
      <x:c r="AE28" s="35" t="str">
        <x:v>這段資料談的是另一個主題，和目前題幹缺少直接關係。</x:v>
      </x:c>
      <x:c r="AF28" s="35" t="str">
        <x:v>回到課本地圖、時間線或表格，找出能再次驗證這個答案的資料。</x:v>
      </x:c>
      <x:c r="AG28" s="35" t="str">
        <x:v>月考卷A</x:v>
      </x:c>
      <x:c r="AH28" s="35" t="str">
        <x:v>A04_5上社會月考卷_第一~二單元_教用_.pdf</x:v>
      </x:c>
      <x:c r="AI28" s="35" t="n">
        <x:v>1</x:v>
      </x:c>
    </x:row>
    <x:row r="29" ht="76" customHeight="1">
      <x:c r="A29" s="35" t="str">
        <x:v>5A-U2</x:v>
      </x:c>
      <x:c r="B29" s="35" t="str">
        <x:v>五上</x:v>
      </x:c>
      <x:c r="C29" s="35" t="n">
        <x:v>2</x:v>
      </x:c>
      <x:c r="D29" s="35" t="str">
        <x:v>島嶼上的生活樣貌</x:v>
      </x:c>
      <x:c r="E29" s="35" t="str">
        <x:v>5A-U2-PAPER</x:v>
      </x:c>
      <x:c r="F29" s="35" t="n">
        <x:v>10</x:v>
      </x:c>
      <x:c r="G29" s="35" t="str">
        <x:v>月考卷B</x:v>
      </x:c>
      <x:c r="H29" s="35" t="str">
        <x:v>下列哪一種行為雖然沒有犯法，但違反了倫理道德規範？</x:v>
      </x:c>
      <x:c r="I29" s="35" t="str">
        <x:v>大銘販售盜版遊戲光碟</x:v>
      </x:c>
      <x:c r="J29" s="35" t="str">
        <x:v>阿宏喝酒後開車回家</x:v>
      </x:c>
      <x:c r="K29" s="35" t="str">
        <x:v>茜茜時常對父母頂嘴</x:v>
      </x:c>
      <x:c r="L29" s="35" t="str">
        <x:v>小政在社群網站發表辱罵同學的文章</x:v>
      </x:c>
      <x:c r="M29" s="35" t="str">
        <x:v>C</x:v>
      </x:c>
      <x:c r="N29" s="35" t="str">
        <x:v>茜茜時常對父母頂嘴</x:v>
      </x:c>
      <x:c r="O29" s="35" t="str">
        <x:v>想想這個情境要保護什麼權利，以及應使用哪個正式管道。</x:v>
      </x:c>
      <x:c r="P29" s="35" t="str">
        <x:v>判斷重點不在字數，而在內容是否符合課本；答案是「茜茜時常對父母頂嘴」。社會規範包括風俗、倫理道德、宗教信仰與法律，不同規範的形成方式和強制力並不相同。</x:v>
      </x:c>
      <x:c r="Q29" s="35" t="str">
        <x:v>選項「大銘販售盜版遊戲光碟」混入了不同背景的資料。回看題幹，應選「茜茜時常對父母頂嘴」。社會規範包括風俗、倫理道德、宗教信仰與法律，不同規範的形成方式和強制力並不相同。</x:v>
      </x:c>
      <x:c r="R29" s="35" t="str">
        <x:v>「阿宏喝酒後開車回家」沒有符合題幹限定的條件。正確方向是「茜茜時常對父母頂嘴」；社會規範包括風俗、倫理道德、宗教信仰與法律，不同規範的形成方式和強制力並不相同。</x:v>
      </x:c>
      <x:c r="S29" s="35" t="str">
        <x:v>判斷正確！你找到了「茜茜時常對父母頂嘴」這個關鍵。社會規範包括風俗、倫理道德、宗教信仰與法律，不同規範的形成方式和強制力並不相同。</x:v>
      </x:c>
      <x:c r="T29" s="35" t="str">
        <x:v>「小政在社群網站發表辱罵同學的文章」是干擾資料，和本題線索對不上；請改從「茜茜時常對父母頂嘴」思考。社會規範包括風俗、倫理道德、宗教信仰與法律，不同規範的形成方式和強制力並不相同。</x:v>
      </x:c>
      <x:c r="U29" s="35" t="str">
        <x:v>題幹條件配對錯誤</x:v>
      </x:c>
      <x:c r="V29" s="35" t="str">
        <x:v>題幹條件配對錯誤</x:v>
      </x:c>
      <x:c r="W29" s="35" t="str">
        <x:v>判斷正確</x:v>
      </x:c>
      <x:c r="X29" s="35" t="str">
        <x:v>題幹條件配對錯誤</x:v>
      </x:c>
      <x:c r="Y29" s="35" t="str">
        <x:v>社會規範包括風俗、倫理道德、宗教信仰與法律，不同規範的形成方式和強制力並不相同。</x:v>
      </x:c>
      <x:c r="Z29" s="35" t="str">
        <x:v>臺灣位於板塊交界，地底熱能豐富，具有發展地熱發電的條件，但探勘與建置成本較高。</x:v>
      </x:c>
      <x:c r="AA29" s="35" t="str">
        <x:v>這題要比較發電方式的條件、限制與對居民或環境的影響。</x:v>
      </x:c>
      <x:c r="AB29" s="35" t="str">
        <x:v>A</x:v>
      </x:c>
      <x:c r="AC29" s="35" t="str">
        <x:v>這項說明能直接支持「茜茜時常對父母頂嘴」，也補上題目背後的課本知識。</x:v>
      </x:c>
      <x:c r="AD29" s="35" t="str">
        <x:v>這項知識本身可能正確，但屬於其他單元，不能用來證明本題答案。</x:v>
      </x:c>
      <x:c r="AE29" s="35" t="str">
        <x:v>這段資料談的是另一個主題，和目前題幹缺少直接關係。</x:v>
      </x:c>
      <x:c r="AF29" s="35" t="str">
        <x:v>回到課本地圖、時間線或表格，找出能再次驗證這個答案的資料。</x:v>
      </x:c>
      <x:c r="AG29" s="35" t="str">
        <x:v>月考卷B</x:v>
      </x:c>
      <x:c r="AH29" s="35" t="str">
        <x:v>B02_5上社會月考卷_第二~三單元_教用_.pdf</x:v>
      </x:c>
      <x:c r="AI29" s="35" t="n">
        <x:v>8</x:v>
      </x:c>
    </x:row>
    <x:row r="30" ht="76" customHeight="1">
      <x:c r="A30" s="35" t="str">
        <x:v>5A-U2</x:v>
      </x:c>
      <x:c r="B30" s="35" t="str">
        <x:v>五上</x:v>
      </x:c>
      <x:c r="C30" s="35" t="n">
        <x:v>2</x:v>
      </x:c>
      <x:c r="D30" s="35" t="str">
        <x:v>島嶼上的生活樣貌</x:v>
      </x:c>
      <x:c r="E30" s="35" t="str">
        <x:v>5A-U2-PAPER</x:v>
      </x:c>
      <x:c r="F30" s="35" t="n">
        <x:v>11</x:v>
      </x:c>
      <x:c r="G30" s="35" t="str">
        <x:v>隨堂卷</x:v>
      </x:c>
      <x:c r="H30" s="35" t="str">
        <x:v>下列哪一個不是臺灣平埔族群主要分布的區域？</x:v>
      </x:c>
      <x:c r="I30" s="35" t="str">
        <x:v>東部地區與周圍島嶼</x:v>
      </x:c>
      <x:c r="J30" s="35" t="str">
        <x:v>西部海岸</x:v>
      </x:c>
      <x:c r="K30" s="35" t="str">
        <x:v>西部平原</x:v>
      </x:c>
      <x:c r="L30" s="35" t="str">
        <x:v>西部丘陵</x:v>
      </x:c>
      <x:c r="M30" s="35" t="str">
        <x:v>A</x:v>
      </x:c>
      <x:c r="N30" s="35" t="str">
        <x:v>東部地區與周圍島嶼</x:v>
      </x:c>
      <x:c r="O30" s="35" t="str">
        <x:v>先圈出題幹中的否定詞，再逐一檢查四個選項。</x:v>
      </x:c>
      <x:c r="P30" s="35" t="str">
        <x:v>關鍵答案是「東部地區與周圍島嶼」。平埔族群多居住在西部平原，因較早且頻繁與漢人接觸，部分文化受到漢化政策與社會變遷影響。</x:v>
      </x:c>
      <x:c r="Q30" s="35" t="str">
        <x:v>沒錯，課本中的相關資料支持「東部地區與周圍島嶼」。平埔族群多居住在西部平原，因較早且頻繁與漢人接觸，部分文化受到漢化政策與社會變遷影響。</x:v>
      </x:c>
      <x:c r="R30" s="35" t="str">
        <x:v>先不要選「西部海岸」。把人物、地點或概念重新配對後，應是「東部地區與周圍島嶼」。平埔族群多居住在西部平原，因較早且頻繁與漢人接觸，部分文化受到漢化政策與社會變遷影響。</x:v>
      </x:c>
      <x:c r="S30" s="35" t="str">
        <x:v>「西部平原」是干擾資料，和本題線索對不上；請改從「東部地區與周圍島嶼」思考。平埔族群多居住在西部平原，因較早且頻繁與漢人接觸，部分文化受到漢化政策與社會變遷影響。</x:v>
      </x:c>
      <x:c r="T30" s="35" t="str">
        <x:v>這題不是在找「西部丘陵」。對照課本後，「東部地區與周圍島嶼」才符合題意。平埔族群多居住在西部平原，因較早且頻繁與漢人接觸，部分文化受到漢化政策與社會變遷影響。</x:v>
      </x:c>
      <x:c r="U30" s="35" t="str">
        <x:v>判斷正確</x:v>
      </x:c>
      <x:c r="V30" s="35" t="str">
        <x:v>題幹條件配對錯誤</x:v>
      </x:c>
      <x:c r="W30" s="35" t="str">
        <x:v>題幹條件配對錯誤</x:v>
      </x:c>
      <x:c r="X30" s="35" t="str">
        <x:v>題幹條件配對錯誤</x:v>
      </x:c>
      <x:c r="Y30" s="35" t="str">
        <x:v>平埔族群多居住在西部平原，因較早且頻繁與漢人接觸，部分文化受到漢化政策與社會變遷影響。</x:v>
      </x:c>
      <x:c r="Z30" s="35" t="str">
        <x:v>水力發電利用水流，但會受降雨與水量影響，興建設施也可能改變河川環境。</x:v>
      </x:c>
      <x:c r="AA30" s="35" t="str">
        <x:v>循環經濟重視減少廢棄、延長物品使用時間並回收再利用，目標是降低資源消耗與污染。</x:v>
      </x:c>
      <x:c r="AB30" s="35" t="str">
        <x:v>A</x:v>
      </x:c>
      <x:c r="AC30" s="35" t="str">
        <x:v>這項說明能直接支持「東部地區與周圍島嶼」，也補上題目背後的課本知識。</x:v>
      </x:c>
      <x:c r="AD30" s="35" t="str">
        <x:v>這項知識本身可能正確，但屬於其他單元，不能用來證明本題答案。</x:v>
      </x:c>
      <x:c r="AE30" s="35" t="str">
        <x:v>這段資料談的是另一個主題，和目前題幹缺少直接關係。</x:v>
      </x:c>
      <x:c r="AF30" s="35" t="str">
        <x:v>回到課本地圖、時間線或表格，找出能再次驗證這個答案的資料。</x:v>
      </x:c>
      <x:c r="AG30" s="35" t="str">
        <x:v>隨堂卷</x:v>
      </x:c>
      <x:c r="AH30" s="35" t="str">
        <x:v>02_5上社會隨堂卷_第二單元島嶼上的生活樣貌_教用_.pdf</x:v>
      </x:c>
      <x:c r="AI30" s="35" t="n">
        <x:v>5</x:v>
      </x:c>
    </x:row>
    <x:row r="31" ht="76" customHeight="1">
      <x:c r="A31" s="35" t="str">
        <x:v>5A-U2</x:v>
      </x:c>
      <x:c r="B31" s="35" t="str">
        <x:v>五上</x:v>
      </x:c>
      <x:c r="C31" s="35" t="n">
        <x:v>2</x:v>
      </x:c>
      <x:c r="D31" s="35" t="str">
        <x:v>島嶼上的生活樣貌</x:v>
      </x:c>
      <x:c r="E31" s="35" t="str">
        <x:v>5A-U2-PAPER</x:v>
      </x:c>
      <x:c r="F31" s="35" t="n">
        <x:v>12</x:v>
      </x:c>
      <x:c r="G31" s="35" t="str">
        <x:v>月考卷A</x:v>
      </x:c>
      <x:c r="H31" s="35" t="str">
        <x:v>「位於中央山脈的◇，過去常有許多野生動物在湖邊喝水，是布農族重要的傳統領域。」上述的◇指的是下列哪項？</x:v>
      </x:c>
      <x:c r="I31" s="35" t="str">
        <x:v>澄清湖</x:v>
      </x:c>
      <x:c r="J31" s="35" t="str">
        <x:v>日月潭</x:v>
      </x:c>
      <x:c r="K31" s="35" t="str">
        <x:v>嘉明湖</x:v>
      </x:c>
      <x:c r="L31" s="35" t="str">
        <x:v>七彩湖</x:v>
      </x:c>
      <x:c r="M31" s="35" t="str">
        <x:v>D</x:v>
      </x:c>
      <x:c r="N31" s="35" t="str">
        <x:v>七彩湖</x:v>
      </x:c>
      <x:c r="O31" s="35" t="str">
        <x:v>先找題幹的方向或地點線索，再和課本地圖對照。</x:v>
      </x:c>
      <x:c r="P31" s="35" t="str">
        <x:v>依課本內容，這題應選「七彩湖」。傳統領域和族群的生活、祭儀與資源利用密切相關，不能只把它看成一般景點。</x:v>
      </x:c>
      <x:c r="Q31" s="35" t="str">
        <x:v>先不要選「澄清湖」。把人物、地點或概念重新配對後，應是「七彩湖」。傳統領域和族群的生活、祭儀與資源利用密切相關，不能只把它看成一般景點。</x:v>
      </x:c>
      <x:c r="R31" s="35" t="str">
        <x:v>「日月潭」是干擾資料，和本題線索對不上；請改從「七彩湖」思考。傳統領域和族群的生活、祭儀與資源利用密切相關，不能只把它看成一般景點。</x:v>
      </x:c>
      <x:c r="S31" s="35" t="str">
        <x:v>這題不是在找「嘉明湖」。對照課本後，「七彩湖」才符合題意。傳統領域和族群的生活、祭儀與資源利用密切相關，不能只把它看成一般景點。</x:v>
      </x:c>
      <x:c r="T31" s="35" t="str">
        <x:v>這項選擇成立；「七彩湖」符合題目要求。傳統領域和族群的生活、祭儀與資源利用密切相關，不能只把它看成一般景點。</x:v>
      </x:c>
      <x:c r="U31" s="35" t="str">
        <x:v>題幹條件配對錯誤</x:v>
      </x:c>
      <x:c r="V31" s="35" t="str">
        <x:v>題幹條件配對錯誤</x:v>
      </x:c>
      <x:c r="W31" s="35" t="str">
        <x:v>題幹條件配對錯誤</x:v>
      </x:c>
      <x:c r="X31" s="35" t="str">
        <x:v>判斷正確</x:v>
      </x:c>
      <x:c r="Y31" s="35" t="str">
        <x:v>傳統領域和族群的生活、祭儀與資源利用密切相關，不能只把它看成一般景點。</x:v>
      </x:c>
      <x:c r="Z31" s="35" t="str">
        <x:v>投資報酬並不保證，風險是結果可能獲利也可能虧損；選擇前要評估自己能承受的損失。</x:v>
      </x:c>
      <x:c r="AA31" s="35" t="str">
        <x:v>消費會受到需求、價格、品質、廣告與同儕流行等因素影響，仍應先判斷是否真正需要。</x:v>
      </x:c>
      <x:c r="AB31" s="35" t="str">
        <x:v>A</x:v>
      </x:c>
      <x:c r="AC31" s="35" t="str">
        <x:v>這項說明能直接支持「七彩湖」，也補上題目背後的課本知識。</x:v>
      </x:c>
      <x:c r="AD31" s="35" t="str">
        <x:v>這項知識本身可能正確，但屬於其他單元，不能用來證明本題答案。</x:v>
      </x:c>
      <x:c r="AE31" s="35" t="str">
        <x:v>這段資料談的是另一個主題，和目前題幹缺少直接關係。</x:v>
      </x:c>
      <x:c r="AF31" s="35" t="str">
        <x:v>回到課本地圖、時間線或表格，找出能再次驗證這個答案的資料。</x:v>
      </x:c>
      <x:c r="AG31" s="35" t="str">
        <x:v>月考卷A</x:v>
      </x:c>
      <x:c r="AH31" s="35" t="str">
        <x:v>A04_5上社會月考卷_第一~二單元_教用_.pdf</x:v>
      </x:c>
      <x:c r="AI31" s="35" t="n">
        <x:v>8</x:v>
      </x:c>
    </x:row>
    <x:row r="32" ht="76" customHeight="1">
      <x:c r="A32" s="35" t="str">
        <x:v>5A-U2</x:v>
      </x:c>
      <x:c r="B32" s="35" t="str">
        <x:v>五上</x:v>
      </x:c>
      <x:c r="C32" s="35" t="n">
        <x:v>2</x:v>
      </x:c>
      <x:c r="D32" s="35" t="str">
        <x:v>島嶼上的生活樣貌</x:v>
      </x:c>
      <x:c r="E32" s="35" t="str">
        <x:v>5A-U2-PAPER</x:v>
      </x:c>
      <x:c r="F32" s="35" t="n">
        <x:v>13</x:v>
      </x:c>
      <x:c r="G32" s="35" t="str">
        <x:v>月考卷B</x:v>
      </x:c>
      <x:c r="H32" s="35" t="str">
        <x:v>下列哪一種社會規範，會明定處罰方式與範圍？</x:v>
      </x:c>
      <x:c r="I32" s="35" t="str">
        <x:v>風俗習慣</x:v>
      </x:c>
      <x:c r="J32" s="35" t="str">
        <x:v>倫理道德</x:v>
      </x:c>
      <x:c r="K32" s="35" t="str">
        <x:v>宗教信仰</x:v>
      </x:c>
      <x:c r="L32" s="35" t="str">
        <x:v>法律</x:v>
      </x:c>
      <x:c r="M32" s="35" t="str">
        <x:v>D</x:v>
      </x:c>
      <x:c r="N32" s="35" t="str">
        <x:v>法律</x:v>
      </x:c>
      <x:c r="O32" s="35" t="str">
        <x:v>想想這個情境要保護什麼權利，以及應使用哪個正式管道。</x:v>
      </x:c>
      <x:c r="P32" s="35" t="str">
        <x:v>把題幹線索和課本資料對照，可找到「法律」。法律由國家制定並具有強制力，可維持秩序、保障權利；少年事件處理法重視未成年人的健全成長。</x:v>
      </x:c>
      <x:c r="Q32" s="35" t="str">
        <x:v>「風俗習慣」是干擾資料，和本題線索對不上；請改從「法律」思考。法律由國家制定並具有強制力，可維持秩序、保障權利；少年事件處理法重視未成年人的健全成長。</x:v>
      </x:c>
      <x:c r="R32" s="35" t="str">
        <x:v>這題不是在找「倫理道德」。對照課本後，「法律」才符合題意。法律由國家制定並具有強制力，可維持秩序、保障權利；少年事件處理法重視未成年人的健全成長。</x:v>
      </x:c>
      <x:c r="S32" s="35" t="str">
        <x:v>選項「宗教信仰」混入了不同背景的資料。回看題幹，應選「法律」。法律由國家制定並具有強制力，可維持秩序、保障權利；少年事件處理法重視未成年人的健全成長。</x:v>
      </x:c>
      <x:c r="T32" s="35" t="str">
        <x:v>答對了，「法律」和題幹線索相符。法律由國家制定並具有強制力，可維持秩序、保障權利；少年事件處理法重視未成年人的健全成長。</x:v>
      </x:c>
      <x:c r="U32" s="35" t="str">
        <x:v>題幹條件配對錯誤</x:v>
      </x:c>
      <x:c r="V32" s="35" t="str">
        <x:v>題幹條件配對錯誤</x:v>
      </x:c>
      <x:c r="W32" s="35" t="str">
        <x:v>題幹條件配對錯誤</x:v>
      </x:c>
      <x:c r="X32" s="35" t="str">
        <x:v>判斷正確</x:v>
      </x:c>
      <x:c r="Y32" s="35" t="str">
        <x:v>法律由國家制定並具有強制力，可維持秩序、保障權利；少年事件處理法重視未成年人的健全成長。</x:v>
      </x:c>
      <x:c r="Z32" s="35" t="str">
        <x:v>這題要從消費權益、詐騙風險、理財或循環利用的角度判斷。</x:v>
      </x:c>
      <x:c r="AA32" s="35" t="str">
        <x:v>臺灣位在歐亞板塊與菲律賓海板塊交界附近，板塊推擠形成多山地形，也使地震頻繁。</x:v>
      </x:c>
      <x:c r="AB32" s="35" t="str">
        <x:v>A</x:v>
      </x:c>
      <x:c r="AC32" s="35" t="str">
        <x:v>這項說明能直接支持「法律」，也補上題目背後的課本知識。</x:v>
      </x:c>
      <x:c r="AD32" s="35" t="str">
        <x:v>這項知識本身可能正確，但屬於其他單元，不能用來證明本題答案。</x:v>
      </x:c>
      <x:c r="AE32" s="35" t="str">
        <x:v>這段資料談的是另一個主題，和目前題幹缺少直接關係。</x:v>
      </x:c>
      <x:c r="AF32" s="35" t="str">
        <x:v>回到課本地圖、時間線或表格，找出能再次驗證這個答案的資料。</x:v>
      </x:c>
      <x:c r="AG32" s="35" t="str">
        <x:v>月考卷B</x:v>
      </x:c>
      <x:c r="AH32" s="35" t="str">
        <x:v>B04_5上社會月考卷_第一~二單元_教用_.pdf</x:v>
      </x:c>
      <x:c r="AI32" s="35" t="n">
        <x:v>1</x:v>
      </x:c>
    </x:row>
    <x:row r="33" ht="76" customHeight="1">
      <x:c r="A33" s="35" t="str">
        <x:v>5A-U2</x:v>
      </x:c>
      <x:c r="B33" s="35" t="str">
        <x:v>五上</x:v>
      </x:c>
      <x:c r="C33" s="35" t="n">
        <x:v>2</x:v>
      </x:c>
      <x:c r="D33" s="35" t="str">
        <x:v>島嶼上的生活樣貌</x:v>
      </x:c>
      <x:c r="E33" s="35" t="str">
        <x:v>5A-U2-PAPER</x:v>
      </x:c>
      <x:c r="F33" s="35" t="n">
        <x:v>14</x:v>
      </x:c>
      <x:c r="G33" s="35" t="str">
        <x:v>隨堂卷</x:v>
      </x:c>
      <x:c r="H33" s="35" t="str">
        <x:v>除夕時，全家人會團圓，一起吃年夜飯及發紅包，上述與下列哪一項社會規範較有關？</x:v>
      </x:c>
      <x:c r="I33" s="35" t="str">
        <x:v>法律</x:v>
      </x:c>
      <x:c r="J33" s="35" t="str">
        <x:v>宗教信仰</x:v>
      </x:c>
      <x:c r="K33" s="35" t="str">
        <x:v>倫理道德</x:v>
      </x:c>
      <x:c r="L33" s="35" t="str">
        <x:v>風俗習慣</x:v>
      </x:c>
      <x:c r="M33" s="35" t="str">
        <x:v>D</x:v>
      </x:c>
      <x:c r="N33" s="35" t="str">
        <x:v>風俗習慣</x:v>
      </x:c>
      <x:c r="O33" s="35" t="str">
        <x:v>想想這個情境要保護什麼權利，以及應使用哪個正式管道。</x:v>
      </x:c>
      <x:c r="P33" s="35" t="str">
        <x:v>「風俗習慣」最符合題目所問的時間、地點或概念。法律由國家制定並具有強制力，可維持秩序、保障權利；少年事件處理法重視未成年人的健全成長。</x:v>
      </x:c>
      <x:c r="Q33" s="35" t="str">
        <x:v>這題不是在找「法律」。對照課本後，「風俗習慣」才符合題意。法律由國家制定並具有強制力，可維持秩序、保障權利；少年事件處理法重視未成年人的健全成長。</x:v>
      </x:c>
      <x:c r="R33" s="35" t="str">
        <x:v>選項「宗教信仰」混入了不同背景的資料。回看題幹，應選「風俗習慣」。法律由國家制定並具有強制力，可維持秩序、保障權利；少年事件處理法重視未成年人的健全成長。</x:v>
      </x:c>
      <x:c r="S33" s="35" t="str">
        <x:v>「倫理道德」沒有符合題幹限定的條件。正確方向是「風俗習慣」；法律由國家制定並具有強制力，可維持秩序、保障權利；少年事件處理法重視未成年人的健全成長。</x:v>
      </x:c>
      <x:c r="T33" s="35" t="str">
        <x:v>判斷正確！你找到了「風俗習慣」這個關鍵。法律由國家制定並具有強制力，可維持秩序、保障權利；少年事件處理法重視未成年人的健全成長。</x:v>
      </x:c>
      <x:c r="U33" s="35" t="str">
        <x:v>題幹條件配對錯誤</x:v>
      </x:c>
      <x:c r="V33" s="35" t="str">
        <x:v>題幹條件配對錯誤</x:v>
      </x:c>
      <x:c r="W33" s="35" t="str">
        <x:v>題幹條件配對錯誤</x:v>
      </x:c>
      <x:c r="X33" s="35" t="str">
        <x:v>判斷正確</x:v>
      </x:c>
      <x:c r="Y33" s="35" t="str">
        <x:v>法律由國家制定並具有強制力，可維持秩序、保障權利；少年事件處理法重視未成年人的健全成長。</x:v>
      </x:c>
      <x:c r="Z33" s="35" t="str">
        <x:v>赤道是把地球分成南、北半球的假想線；臺灣位在北半球。</x:v>
      </x:c>
      <x:c r="AA33" s="35" t="str">
        <x:v>臺灣東部多陡峭斷崖、西部多平直沙岸、北部多岬灣，南部則可見珊瑚礁海岸；高雄港利用潟湖地形發展。</x:v>
      </x:c>
      <x:c r="AB33" s="35" t="str">
        <x:v>A</x:v>
      </x:c>
      <x:c r="AC33" s="35" t="str">
        <x:v>這項說明能直接支持「風俗習慣」，也補上題目背後的課本知識。</x:v>
      </x:c>
      <x:c r="AD33" s="35" t="str">
        <x:v>這項知識本身可能正確，但屬於其他單元，不能用來證明本題答案。</x:v>
      </x:c>
      <x:c r="AE33" s="35" t="str">
        <x:v>這段資料談的是另一個主題，和目前題幹缺少直接關係。</x:v>
      </x:c>
      <x:c r="AF33" s="35" t="str">
        <x:v>回到課本地圖、時間線或表格，找出能再次驗證這個答案的資料。</x:v>
      </x:c>
      <x:c r="AG33" s="35" t="str">
        <x:v>隨堂卷</x:v>
      </x:c>
      <x:c r="AH33" s="35" t="str">
        <x:v>02_5上社會隨堂卷_第二單元島嶼上的生活樣貌_教用_.pdf</x:v>
      </x:c>
      <x:c r="AI33" s="35" t="n">
        <x:v>6</x:v>
      </x:c>
    </x:row>
    <x:row r="34" ht="76" customHeight="1">
      <x:c r="A34" s="35" t="str">
        <x:v>5A-U2</x:v>
      </x:c>
      <x:c r="B34" s="35" t="str">
        <x:v>五上</x:v>
      </x:c>
      <x:c r="C34" s="35" t="n">
        <x:v>2</x:v>
      </x:c>
      <x:c r="D34" s="35" t="str">
        <x:v>島嶼上的生活樣貌</x:v>
      </x:c>
      <x:c r="E34" s="35" t="str">
        <x:v>5A-U2-PAPER</x:v>
      </x:c>
      <x:c r="F34" s="35" t="n">
        <x:v>15</x:v>
      </x:c>
      <x:c r="G34" s="35" t="str">
        <x:v>月考卷B</x:v>
      </x:c>
      <x:c r="H34" s="35" t="str">
        <x:v>「豪豪是位虔誠的穆斯林，平時謹遵古蘭經的教誨，遵守禁食豬肉、不飲酒等戒律。」上述豪豪的行為，是受到下列哪種規範的影響？</x:v>
      </x:c>
      <x:c r="I34" s="35" t="str">
        <x:v>倫理道德</x:v>
      </x:c>
      <x:c r="J34" s="35" t="str">
        <x:v>法律</x:v>
      </x:c>
      <x:c r="K34" s="35" t="str">
        <x:v>宗教信仰</x:v>
      </x:c>
      <x:c r="L34" s="35" t="str">
        <x:v>風俗習慣</x:v>
      </x:c>
      <x:c r="M34" s="35" t="str">
        <x:v>C</x:v>
      </x:c>
      <x:c r="N34" s="35" t="str">
        <x:v>宗教信仰</x:v>
      </x:c>
      <x:c r="O34" s="35" t="str">
        <x:v>找出題幹中的原因與結果，檢查兩者是否能連起來。</x:v>
      </x:c>
      <x:c r="P34" s="35" t="str">
        <x:v>判斷重點不在字數，而在內容是否符合課本；答案是「宗教信仰」。法律由國家制定並具有強制力，可維持秩序、保障權利；少年事件處理法重視未成年人的健全成長。</x:v>
      </x:c>
      <x:c r="Q34" s="35" t="str">
        <x:v>選項「倫理道德」混入了不同背景的資料。回看題幹，應選「宗教信仰」。法律由國家制定並具有強制力，可維持秩序、保障權利；少年事件處理法重視未成年人的健全成長。</x:v>
      </x:c>
      <x:c r="R34" s="35" t="str">
        <x:v>「法律」沒有符合題幹限定的條件。正確方向是「宗教信仰」；法律由國家制定並具有強制力，可維持秩序、保障權利；少年事件處理法重視未成年人的健全成長。</x:v>
      </x:c>
      <x:c r="S34" s="35" t="str">
        <x:v>沒錯，課本中的相關資料支持「宗教信仰」。法律由國家制定並具有強制力，可維持秩序、保障權利；少年事件處理法重視未成年人的健全成長。</x:v>
      </x:c>
      <x:c r="T34" s="35" t="str">
        <x:v>「風俗習慣」是干擾資料，和本題線索對不上；請改從「宗教信仰」思考。法律由國家制定並具有強制力，可維持秩序、保障權利；少年事件處理法重視未成年人的健全成長。</x:v>
      </x:c>
      <x:c r="U34" s="35" t="str">
        <x:v>題幹條件配對錯誤</x:v>
      </x:c>
      <x:c r="V34" s="35" t="str">
        <x:v>題幹條件配對錯誤</x:v>
      </x:c>
      <x:c r="W34" s="35" t="str">
        <x:v>判斷正確</x:v>
      </x:c>
      <x:c r="X34" s="35" t="str">
        <x:v>題幹條件配對錯誤</x:v>
      </x:c>
      <x:c r="Y34" s="35" t="str">
        <x:v>法律由國家制定並具有強制力，可維持秩序、保障權利；少年事件處理法重視未成年人的健全成長。</x:v>
      </x:c>
      <x:c r="Z34" s="35" t="str">
        <x:v>臺灣東部多陡峭斷崖、西部多平直沙岸、北部多岬灣，南部則可見珊瑚礁海岸；高雄港利用潟湖地形發展。</x:v>
      </x:c>
      <x:c r="AA34" s="35" t="str">
        <x:v>八仙洞遺址可見舊石器時代的生活線索，當時人們主要採集、狩獵，尚未發展農耕定居。</x:v>
      </x:c>
      <x:c r="AB34" s="35" t="str">
        <x:v>A</x:v>
      </x:c>
      <x:c r="AC34" s="35" t="str">
        <x:v>這項說明能直接支持「宗教信仰」，也補上題目背後的課本知識。</x:v>
      </x:c>
      <x:c r="AD34" s="35" t="str">
        <x:v>這項知識本身可能正確，但屬於其他單元，不能用來證明本題答案。</x:v>
      </x:c>
      <x:c r="AE34" s="35" t="str">
        <x:v>這段資料談的是另一個主題，和目前題幹缺少直接關係。</x:v>
      </x:c>
      <x:c r="AF34" s="35" t="str">
        <x:v>回到課本地圖、時間線或表格，找出能再次驗證這個答案的資料。</x:v>
      </x:c>
      <x:c r="AG34" s="35" t="str">
        <x:v>月考卷B</x:v>
      </x:c>
      <x:c r="AH34" s="35" t="str">
        <x:v>B04_5上社會月考卷_第一~二單元_教用_.pdf</x:v>
      </x:c>
      <x:c r="AI34" s="35" t="n">
        <x:v>4</x:v>
      </x:c>
    </x:row>
    <x:row r="35" ht="76" customHeight="1">
      <x:c r="A35" s="34" t="str">
        <x:v>5A-U3</x:v>
      </x:c>
      <x:c r="B35" s="34" t="str">
        <x:v>五上</x:v>
      </x:c>
      <x:c r="C35" s="34" t="n">
        <x:v>3</x:v>
      </x:c>
      <x:c r="D35" s="34" t="str">
        <x:v>臺灣的物產資源</x:v>
      </x:c>
      <x:c r="E35" s="34" t="str">
        <x:v>5A-U3-PAPER</x:v>
      </x:c>
      <x:c r="F35" s="34" t="n">
        <x:v>1</x:v>
      </x:c>
      <x:c r="G35" s="34" t="str">
        <x:v>隨堂卷</x:v>
      </x:c>
      <x:c r="H35" s="34" t="str">
        <x:v>下列哪項做法對於生態保育較有幫助？</x:v>
      </x:c>
      <x:c r="I35" s="34" t="str">
        <x:v>砍伐陡峭山坡上的樹木，並改種低矮的農作物</x:v>
      </x:c>
      <x:c r="J35" s="34" t="str">
        <x:v>持續開發大型林場，販售林木</x:v>
      </x:c>
      <x:c r="K35" s="34" t="str">
        <x:v>推廣有機農業和休閒農業</x:v>
      </x:c>
      <x:c r="L35" s="34" t="str">
        <x:v>大量捕撈魚類，大小魚都不放過</x:v>
      </x:c>
      <x:c r="M35" s="34" t="str">
        <x:v>C</x:v>
      </x:c>
      <x:c r="N35" s="34" t="str">
        <x:v>推廣有機農業和休閒農業</x:v>
      </x:c>
      <x:c r="O35" s="34" t="str">
        <x:v>抓住題幹的關鍵詞，再比較每個選項和課本內容是否相符。</x:v>
      </x:c>
      <x:c r="P35" s="34" t="str">
        <x:v>關鍵答案是「推廣有機農業和休閒農業」。臺灣周邊海流交會，帶來多樣漁業資源；過度捕撈會使魚群減少，因此需要適當的取用與管理。</x:v>
      </x:c>
      <x:c r="Q35" s="34" t="str">
        <x:v>「砍伐陡峭山坡上的樹木，並改種低矮的農作物」沒有符合題幹限定的條件。正確方向是「推廣有機農業和休閒農業」；臺灣周邊海流交會，帶來多樣漁業資源；過度捕撈會使魚群減少，因此需要適當的取用與管理。</x:v>
      </x:c>
      <x:c r="R35" s="34" t="str">
        <x:v>先不要選「持續開發大型林場，販售林木」。把人物、地點或概念重新配對後，應是「推廣有機農業和休閒農業」。臺灣周邊海流交會，帶來多樣漁業資源；過度捕撈會使魚群減少，因此需要適當的取用與管理。</x:v>
      </x:c>
      <x:c r="S35" s="34" t="str">
        <x:v>答對了，「推廣有機農業和休閒農業」和題幹線索相符。臺灣周邊海流交會，帶來多樣漁業資源；過度捕撈會使魚群減少，因此需要適當的取用與管理。</x:v>
      </x:c>
      <x:c r="T35" s="34" t="str">
        <x:v>這題不是在找「大量捕撈魚類，大小魚都不放過」。對照課本後，「推廣有機農業和休閒農業」才符合題意。臺灣周邊海流交會，帶來多樣漁業資源；過度捕撈會使魚群減少，因此需要適當的取用與管理。</x:v>
      </x:c>
      <x:c r="U35" s="34" t="str">
        <x:v>題幹條件配對錯誤</x:v>
      </x:c>
      <x:c r="V35" s="34" t="str">
        <x:v>題幹條件配對錯誤</x:v>
      </x:c>
      <x:c r="W35" s="34" t="str">
        <x:v>判斷正確</x:v>
      </x:c>
      <x:c r="X35" s="34" t="str">
        <x:v>題幹條件配對錯誤</x:v>
      </x:c>
      <x:c r="Y35" s="34" t="str">
        <x:v>臺灣周邊海流交會，帶來多樣漁業資源；過度捕撈會使魚群減少，因此需要適當的取用與管理。</x:v>
      </x:c>
      <x:c r="Z35" s="34" t="str">
        <x:v>荷蘭人曾以臺灣南部為據點，經營貿易、傳教並課徵稅收；熱蘭遮堡是重要據點。</x:v>
      </x:c>
      <x:c r="AA35" s="34" t="str">
        <x:v>西班牙人曾在臺灣北部建立據點；三貂角的名稱也和大航海時代的西班牙航行有關。</x:v>
      </x:c>
      <x:c r="AB35" s="34" t="str">
        <x:v>A</x:v>
      </x:c>
      <x:c r="AC35" s="34" t="str">
        <x:v>這項說明能直接支持「推廣有機農業和休閒農業」，也補上題目背後的課本知識。</x:v>
      </x:c>
      <x:c r="AD35" s="34" t="str">
        <x:v>這項知識本身可能正確，但屬於其他單元，不能用來證明本題答案。</x:v>
      </x:c>
      <x:c r="AE35" s="34" t="str">
        <x:v>這段資料談的是另一個主題，和目前題幹缺少直接關係。</x:v>
      </x:c>
      <x:c r="AF35" s="34" t="str">
        <x:v>回到課本地圖、時間線或表格，找出能再次驗證這個答案的資料。</x:v>
      </x:c>
      <x:c r="AG35" s="34" t="str">
        <x:v>隨堂卷</x:v>
      </x:c>
      <x:c r="AH35" s="34" t="str">
        <x:v>03_5上社會隨堂卷_第三單元臺灣的物產資源_教用_.pdf</x:v>
      </x:c>
      <x:c r="AI35" s="34" t="n">
        <x:v>1</x:v>
      </x:c>
    </x:row>
    <x:row r="36" ht="76" customHeight="1">
      <x:c r="A36" s="34" t="str">
        <x:v>5A-U3</x:v>
      </x:c>
      <x:c r="B36" s="34" t="str">
        <x:v>五上</x:v>
      </x:c>
      <x:c r="C36" s="34" t="n">
        <x:v>3</x:v>
      </x:c>
      <x:c r="D36" s="34" t="str">
        <x:v>臺灣的物產資源</x:v>
      </x:c>
      <x:c r="E36" s="34" t="str">
        <x:v>5A-U3-PAPER</x:v>
      </x:c>
      <x:c r="F36" s="34" t="n">
        <x:v>2</x:v>
      </x:c>
      <x:c r="G36" s="34" t="str">
        <x:v>月考卷A</x:v>
      </x:c>
      <x:c r="H36" s="34" t="str">
        <x:v>臺灣因養殖技術發達，而有下列哪個稱號？</x:v>
      </x:c>
      <x:c r="I36" s="34" t="str">
        <x:v>水果王國</x:v>
      </x:c>
      <x:c r="J36" s="34" t="str">
        <x:v>養殖王國</x:v>
      </x:c>
      <x:c r="K36" s="34" t="str">
        <x:v>蘭花王國</x:v>
      </x:c>
      <x:c r="L36" s="34" t="str">
        <x:v>蔗糖王國</x:v>
      </x:c>
      <x:c r="M36" s="34" t="str">
        <x:v>B</x:v>
      </x:c>
      <x:c r="N36" s="34" t="str">
        <x:v>養殖王國</x:v>
      </x:c>
      <x:c r="O36" s="34" t="str">
        <x:v>抓住題幹的關鍵詞，再比較每個選項和課本內容是否相符。</x:v>
      </x:c>
      <x:c r="P36" s="34" t="str">
        <x:v>依課本內容，這題應選「養殖王國」。臺灣周邊海流交會，帶來多樣漁業資源；過度捕撈會使魚群減少，因此需要適當的取用與管理。</x:v>
      </x:c>
      <x:c r="Q36" s="34" t="str">
        <x:v>先不要選「水果王國」。把人物、地點或概念重新配對後，應是「養殖王國」。臺灣周邊海流交會，帶來多樣漁業資源；過度捕撈會使魚群減少，因此需要適當的取用與管理。</x:v>
      </x:c>
      <x:c r="R36" s="34" t="str">
        <x:v>判斷正確！你找到了「養殖王國」這個關鍵。臺灣周邊海流交會，帶來多樣漁業資源；過度捕撈會使魚群減少，因此需要適當的取用與管理。</x:v>
      </x:c>
      <x:c r="S36" s="34" t="str">
        <x:v>這題不是在找「蘭花王國」。對照課本後，「養殖王國」才符合題意。臺灣周邊海流交會，帶來多樣漁業資源；過度捕撈會使魚群減少，因此需要適當的取用與管理。</x:v>
      </x:c>
      <x:c r="T36" s="34" t="str">
        <x:v>選項「蔗糖王國」混入了不同背景的資料。回看題幹，應選「養殖王國」。臺灣周邊海流交會，帶來多樣漁業資源；過度捕撈會使魚群減少，因此需要適當的取用與管理。</x:v>
      </x:c>
      <x:c r="U36" s="34" t="str">
        <x:v>題幹條件配對錯誤</x:v>
      </x:c>
      <x:c r="V36" s="34" t="str">
        <x:v>判斷正確</x:v>
      </x:c>
      <x:c r="W36" s="34" t="str">
        <x:v>題幹條件配對錯誤</x:v>
      </x:c>
      <x:c r="X36" s="34" t="str">
        <x:v>題幹條件配對錯誤</x:v>
      </x:c>
      <x:c r="Y36" s="34" t="str">
        <x:v>臺灣周邊海流交會，帶來多樣漁業資源；過度捕撈會使魚群減少，因此需要適當的取用與管理。</x:v>
      </x:c>
      <x:c r="Z36" s="34" t="str">
        <x:v>早期漢人渡過臺灣海峽來臺，航程受到季風、海象與船隻條件影響；『黑水溝』常指澎湖與臺灣島間的危險水域。</x:v>
      </x:c>
      <x:c r="AA36" s="34" t="str">
        <x:v>清代開墾需要穩定水源，因此各地興建水圳並建立分水、維修規則；瑠公圳位於北部。</x:v>
      </x:c>
      <x:c r="AB36" s="34" t="str">
        <x:v>A</x:v>
      </x:c>
      <x:c r="AC36" s="34" t="str">
        <x:v>這項說明能直接支持「養殖王國」，也補上題目背後的課本知識。</x:v>
      </x:c>
      <x:c r="AD36" s="34" t="str">
        <x:v>這項知識本身可能正確，但屬於其他單元，不能用來證明本題答案。</x:v>
      </x:c>
      <x:c r="AE36" s="34" t="str">
        <x:v>這段資料談的是另一個主題，和目前題幹缺少直接關係。</x:v>
      </x:c>
      <x:c r="AF36" s="34" t="str">
        <x:v>回到課本地圖、時間線或表格，找出能再次驗證這個答案的資料。</x:v>
      </x:c>
      <x:c r="AG36" s="34" t="str">
        <x:v>月考卷A</x:v>
      </x:c>
      <x:c r="AH36" s="34" t="str">
        <x:v>A02_5上社會月考卷_第二~三單元_教用_.pdf</x:v>
      </x:c>
      <x:c r="AI36" s="34" t="n">
        <x:v>4</x:v>
      </x:c>
    </x:row>
    <x:row r="37" ht="76" customHeight="1">
      <x:c r="A37" s="34" t="str">
        <x:v>5A-U3</x:v>
      </x:c>
      <x:c r="B37" s="34" t="str">
        <x:v>五上</x:v>
      </x:c>
      <x:c r="C37" s="34" t="n">
        <x:v>3</x:v>
      </x:c>
      <x:c r="D37" s="34" t="str">
        <x:v>臺灣的物產資源</x:v>
      </x:c>
      <x:c r="E37" s="34" t="str">
        <x:v>5A-U3-PAPER</x:v>
      </x:c>
      <x:c r="F37" s="34" t="n">
        <x:v>3</x:v>
      </x:c>
      <x:c r="G37" s="34" t="str">
        <x:v>月考卷B</x:v>
      </x:c>
      <x:c r="H37" s="34" t="str">
        <x:v>大理石礦是臺灣目前少數仍在開採的礦產之一，下列哪一個地區是主要產地？</x:v>
      </x:c>
      <x:c r="I37" s="34" t="str">
        <x:v>北部</x:v>
      </x:c>
      <x:c r="J37" s="34" t="str">
        <x:v>東部</x:v>
      </x:c>
      <x:c r="K37" s="34" t="str">
        <x:v>南部</x:v>
      </x:c>
      <x:c r="L37" s="34" t="str">
        <x:v>離島</x:v>
      </x:c>
      <x:c r="M37" s="34" t="str">
        <x:v>B</x:v>
      </x:c>
      <x:c r="N37" s="34" t="str">
        <x:v>東部</x:v>
      </x:c>
      <x:c r="O37" s="34" t="str">
        <x:v>先找題幹的方向或地點線索，再和課本地圖對照。</x:v>
      </x:c>
      <x:c r="P37" s="34" t="str">
        <x:v>把題幹線索和課本資料對照，可找到「東部」。臺灣礦業曾帶動地方發展，但多數礦產逐漸停採；花蓮仍有大理石礦，瑞芳、九份過去則以煤或金礦聞名。</x:v>
      </x:c>
      <x:c r="Q37" s="34" t="str">
        <x:v>「北部」是干擾資料，和本題線索對不上；請改從「東部」思考。臺灣礦業曾帶動地方發展，但多數礦產逐漸停採；花蓮仍有大理石礦，瑞芳、九份過去則以煤或金礦聞名。</x:v>
      </x:c>
      <x:c r="R37" s="34" t="str">
        <x:v>沒錯，課本中的相關資料支持「東部」。臺灣礦業曾帶動地方發展，但多數礦產逐漸停採；花蓮仍有大理石礦，瑞芳、九份過去則以煤或金礦聞名。</x:v>
      </x:c>
      <x:c r="S37" s="34" t="str">
        <x:v>選項「南部」混入了不同背景的資料。回看題幹，應選「東部」。臺灣礦業曾帶動地方發展，但多數礦產逐漸停採；花蓮仍有大理石礦，瑞芳、九份過去則以煤或金礦聞名。</x:v>
      </x:c>
      <x:c r="T37" s="34" t="str">
        <x:v>「離島」沒有符合題幹限定的條件。正確方向是「東部」；臺灣礦業曾帶動地方發展，但多數礦產逐漸停採；花蓮仍有大理石礦，瑞芳、九份過去則以煤或金礦聞名。</x:v>
      </x:c>
      <x:c r="U37" s="34" t="str">
        <x:v>題幹條件配對錯誤</x:v>
      </x:c>
      <x:c r="V37" s="34" t="str">
        <x:v>判斷正確</x:v>
      </x:c>
      <x:c r="W37" s="34" t="str">
        <x:v>題幹條件配對錯誤</x:v>
      </x:c>
      <x:c r="X37" s="34" t="str">
        <x:v>題幹條件配對錯誤</x:v>
      </x:c>
      <x:c r="Y37" s="34" t="str">
        <x:v>臺灣礦業曾帶動地方發展，但多數礦產逐漸停採；花蓮仍有大理石礦，瑞芳、九份過去則以煤或金礦聞名。</x:v>
      </x:c>
      <x:c r="Z37" s="34" t="str">
        <x:v>這題要從清代移民、開墾、族群互動與地方生活的背景判斷。</x:v>
      </x:c>
      <x:c r="AA37" s="34" t="str">
        <x:v>早期漢人渡過臺灣海峽來臺，航程受到季風、海象與船隻條件影響；『黑水溝』常指澎湖與臺灣島間的危險水域。</x:v>
      </x:c>
      <x:c r="AB37" s="34" t="str">
        <x:v>A</x:v>
      </x:c>
      <x:c r="AC37" s="34" t="str">
        <x:v>這項說明能直接支持「東部」，也補上題目背後的課本知識。</x:v>
      </x:c>
      <x:c r="AD37" s="34" t="str">
        <x:v>這項知識本身可能正確，但屬於其他單元，不能用來證明本題答案。</x:v>
      </x:c>
      <x:c r="AE37" s="34" t="str">
        <x:v>這段資料談的是另一個主題，和目前題幹缺少直接關係。</x:v>
      </x:c>
      <x:c r="AF37" s="34" t="str">
        <x:v>回到課本地圖、時間線或表格，找出能再次驗證這個答案的資料。</x:v>
      </x:c>
      <x:c r="AG37" s="34" t="str">
        <x:v>月考卷B</x:v>
      </x:c>
      <x:c r="AH37" s="34" t="str">
        <x:v>B02_5上社會月考卷_第二~三單元_教用_.pdf</x:v>
      </x:c>
      <x:c r="AI37" s="34" t="n">
        <x:v>2</x:v>
      </x:c>
    </x:row>
    <x:row r="38" ht="76" customHeight="1">
      <x:c r="A38" s="34" t="str">
        <x:v>5A-U3</x:v>
      </x:c>
      <x:c r="B38" s="34" t="str">
        <x:v>五上</x:v>
      </x:c>
      <x:c r="C38" s="34" t="n">
        <x:v>3</x:v>
      </x:c>
      <x:c r="D38" s="34" t="str">
        <x:v>臺灣的物產資源</x:v>
      </x:c>
      <x:c r="E38" s="34" t="str">
        <x:v>5A-U3-PAPER</x:v>
      </x:c>
      <x:c r="F38" s="34" t="n">
        <x:v>4</x:v>
      </x:c>
      <x:c r="G38" s="34" t="str">
        <x:v>隨堂卷</x:v>
      </x:c>
      <x:c r="H38" s="34" t="str">
        <x:v>下列有關臺灣製糖產業的敘述，哪一項錯誤？</x:v>
      </x:c>
      <x:c r="I38" s="34" t="str">
        <x:v>大約四百年前臺灣開始發展製糖產業</x:v>
      </x:c>
      <x:c r="J38" s="34" t="str">
        <x:v>臺灣蔗糖早期曾是日本進口糖的主要來源</x:v>
      </x:c>
      <x:c r="K38" s="34" t="str">
        <x:v>蔗糖曾帶動虎尾鎮的發展</x:v>
      </x:c>
      <x:c r="L38" s="34" t="str">
        <x:v>臺灣所有糖廠都已停止運作</x:v>
      </x:c>
      <x:c r="M38" s="34" t="str">
        <x:v>D</x:v>
      </x:c>
      <x:c r="N38" s="34" t="str">
        <x:v>臺灣所有糖廠都已停止運作</x:v>
      </x:c>
      <x:c r="O38" s="34" t="str">
        <x:v>先圈出題幹中的否定詞，再逐一檢查四個選項。</x:v>
      </x:c>
      <x:c r="P38" s="34" t="str">
        <x:v>「臺灣所有糖廠都已停止運作」最符合題目所問的時間、地點或概念。這題要把資源來源、生產方式與環境影響放在一起判斷。</x:v>
      </x:c>
      <x:c r="Q38" s="34" t="str">
        <x:v>這題不是在找「大約四百年前臺灣開始發展製糖產業」。對照課本後，「臺灣所有糖廠都已停止運作」才符合題意。這題要把資源來源、生產方式與環境影響放在一起判斷。</x:v>
      </x:c>
      <x:c r="R38" s="34" t="str">
        <x:v>選項「臺灣蔗糖早期曾是日本進口糖的主要來源」混入了不同背景的資料。回看題幹，應選「臺灣所有糖廠都已停止運作」。這題要把資源來源、生產方式與環境影響放在一起判斷。</x:v>
      </x:c>
      <x:c r="S38" s="34" t="str">
        <x:v>「蔗糖曾帶動虎尾鎮的發展」沒有符合題幹限定的條件。正確方向是「臺灣所有糖廠都已停止運作」；這題要把資源來源、生產方式與環境影響放在一起判斷。</x:v>
      </x:c>
      <x:c r="T38" s="34" t="str">
        <x:v>這項選擇成立；「臺灣所有糖廠都已停止運作」符合題目要求。這題要把資源來源、生產方式與環境影響放在一起判斷。</x:v>
      </x:c>
      <x:c r="U38" s="34" t="str">
        <x:v>題幹條件配對錯誤</x:v>
      </x:c>
      <x:c r="V38" s="34" t="str">
        <x:v>題幹條件配對錯誤</x:v>
      </x:c>
      <x:c r="W38" s="34" t="str">
        <x:v>題幹條件配對錯誤</x:v>
      </x:c>
      <x:c r="X38" s="34" t="str">
        <x:v>判斷正確</x:v>
      </x:c>
      <x:c r="Y38" s="34" t="str">
        <x:v>這題要把資源來源、生產方式與環境影響放在一起判斷。</x:v>
      </x:c>
      <x:c r="Z38" s="34" t="str">
        <x:v>這題要從清代移民、開墾、族群互動與地方生活的背景判斷。</x:v>
      </x:c>
      <x:c r="AA38" s="34" t="str">
        <x:v>牡丹社事件後，清廷更重視臺灣防務與治理，逐步採取開山撫番並廢除渡臺限制等政策。</x:v>
      </x:c>
      <x:c r="AB38" s="34" t="str">
        <x:v>A</x:v>
      </x:c>
      <x:c r="AC38" s="34" t="str">
        <x:v>這項說明能直接支持「臺灣所有糖廠都已停止運作」，也補上題目背後的課本知識。</x:v>
      </x:c>
      <x:c r="AD38" s="34" t="str">
        <x:v>這項知識本身可能正確，但屬於其他單元，不能用來證明本題答案。</x:v>
      </x:c>
      <x:c r="AE38" s="34" t="str">
        <x:v>這段資料談的是另一個主題，和目前題幹缺少直接關係。</x:v>
      </x:c>
      <x:c r="AF38" s="34" t="str">
        <x:v>回到課本地圖、時間線或表格，找出能再次驗證這個答案的資料。</x:v>
      </x:c>
      <x:c r="AG38" s="34" t="str">
        <x:v>隨堂卷</x:v>
      </x:c>
      <x:c r="AH38" s="34" t="str">
        <x:v>03_5上社會隨堂卷_第三單元臺灣的物產資源_教用_.pdf</x:v>
      </x:c>
      <x:c r="AI38" s="34" t="n">
        <x:v>4</x:v>
      </x:c>
    </x:row>
    <x:row r="39" ht="76" customHeight="1">
      <x:c r="A39" s="34" t="str">
        <x:v>5A-U3</x:v>
      </x:c>
      <x:c r="B39" s="34" t="str">
        <x:v>五上</x:v>
      </x:c>
      <x:c r="C39" s="34" t="n">
        <x:v>3</x:v>
      </x:c>
      <x:c r="D39" s="34" t="str">
        <x:v>臺灣的物產資源</x:v>
      </x:c>
      <x:c r="E39" s="34" t="str">
        <x:v>5A-U3-PAPER</x:v>
      </x:c>
      <x:c r="F39" s="34" t="n">
        <x:v>5</x:v>
      </x:c>
      <x:c r="G39" s="34" t="str">
        <x:v>月考卷A</x:v>
      </x:c>
      <x:c r="H39" s="34" t="str">
        <x:v>「新北市瑞芳區早期以開採○和黃金為主，現今已停止開採。」上述的○，指的是哪一種礦產？</x:v>
      </x:c>
      <x:c r="I39" s="34" t="str">
        <x:v>鐵</x:v>
      </x:c>
      <x:c r="J39" s="34" t="str">
        <x:v>銀</x:v>
      </x:c>
      <x:c r="K39" s="34" t="str">
        <x:v>煤</x:v>
      </x:c>
      <x:c r="L39" s="34" t="str">
        <x:v>銅</x:v>
      </x:c>
      <x:c r="M39" s="34" t="str">
        <x:v>C</x:v>
      </x:c>
      <x:c r="N39" s="34" t="str">
        <x:v>煤</x:v>
      </x:c>
      <x:c r="O39" s="34" t="str">
        <x:v>抓住題幹的關鍵詞，再比較每個選項和課本內容是否相符。</x:v>
      </x:c>
      <x:c r="P39" s="34" t="str">
        <x:v>判斷重點不在字數，而在內容是否符合課本；答案是「煤」。臺灣礦業曾帶動地方發展，但多數礦產逐漸停採；花蓮仍有大理石礦，瑞芳、九份過去則以煤或金礦聞名。</x:v>
      </x:c>
      <x:c r="Q39" s="34" t="str">
        <x:v>選項「鐵」混入了不同背景的資料。回看題幹，應選「煤」。臺灣礦業曾帶動地方發展，但多數礦產逐漸停採；花蓮仍有大理石礦，瑞芳、九份過去則以煤或金礦聞名。</x:v>
      </x:c>
      <x:c r="R39" s="34" t="str">
        <x:v>「銀」沒有符合題幹限定的條件。正確方向是「煤」；臺灣礦業曾帶動地方發展，但多數礦產逐漸停採；花蓮仍有大理石礦，瑞芳、九份過去則以煤或金礦聞名。</x:v>
      </x:c>
      <x:c r="S39" s="34" t="str">
        <x:v>答對了，「煤」和題幹線索相符。臺灣礦業曾帶動地方發展，但多數礦產逐漸停採；花蓮仍有大理石礦，瑞芳、九份過去則以煤或金礦聞名。</x:v>
      </x:c>
      <x:c r="T39" s="34" t="str">
        <x:v>「銅」是干擾資料，和本題線索對不上；請改從「煤」思考。臺灣礦業曾帶動地方發展，但多數礦產逐漸停採；花蓮仍有大理石礦，瑞芳、九份過去則以煤或金礦聞名。</x:v>
      </x:c>
      <x:c r="U39" s="34" t="str">
        <x:v>題幹條件配對錯誤</x:v>
      </x:c>
      <x:c r="V39" s="34" t="str">
        <x:v>題幹條件配對錯誤</x:v>
      </x:c>
      <x:c r="W39" s="34" t="str">
        <x:v>判斷正確</x:v>
      </x:c>
      <x:c r="X39" s="34" t="str">
        <x:v>題幹條件配對錯誤</x:v>
      </x:c>
      <x:c r="Y39" s="34" t="str">
        <x:v>臺灣礦業曾帶動地方發展，但多數礦產逐漸停採；花蓮仍有大理石礦，瑞芳、九份過去則以煤或金礦聞名。</x:v>
      </x:c>
      <x:c r="Z39" s="34" t="str">
        <x:v>牡丹社事件後，清廷更重視臺灣防務與治理，逐步採取開山撫番並廢除渡臺限制等政策。</x:v>
      </x:c>
      <x:c r="AA39" s="34" t="str">
        <x:v>開港後茶葉等商品從北部輸出，帶動大稻埕與北部港市發展，也使經濟重心逐漸北移。</x:v>
      </x:c>
      <x:c r="AB39" s="34" t="str">
        <x:v>A</x:v>
      </x:c>
      <x:c r="AC39" s="34" t="str">
        <x:v>這項說明能直接支持「煤」，也補上題目背後的課本知識。</x:v>
      </x:c>
      <x:c r="AD39" s="34" t="str">
        <x:v>這項知識本身可能正確，但屬於其他單元，不能用來證明本題答案。</x:v>
      </x:c>
      <x:c r="AE39" s="34" t="str">
        <x:v>這段資料談的是另一個主題，和目前題幹缺少直接關係。</x:v>
      </x:c>
      <x:c r="AF39" s="34" t="str">
        <x:v>回到課本地圖、時間線或表格，找出能再次驗證這個答案的資料。</x:v>
      </x:c>
      <x:c r="AG39" s="34" t="str">
        <x:v>月考卷A</x:v>
      </x:c>
      <x:c r="AH39" s="34" t="str">
        <x:v>A02_5上社會月考卷_第二~三單元_教用_.pdf</x:v>
      </x:c>
      <x:c r="AI39" s="34" t="n">
        <x:v>6</x:v>
      </x:c>
    </x:row>
    <x:row r="40" ht="76" customHeight="1">
      <x:c r="A40" s="34" t="str">
        <x:v>5A-U3</x:v>
      </x:c>
      <x:c r="B40" s="34" t="str">
        <x:v>五上</x:v>
      </x:c>
      <x:c r="C40" s="34" t="n">
        <x:v>3</x:v>
      </x:c>
      <x:c r="D40" s="34" t="str">
        <x:v>臺灣的物產資源</x:v>
      </x:c>
      <x:c r="E40" s="34" t="str">
        <x:v>5A-U3-PAPER</x:v>
      </x:c>
      <x:c r="F40" s="34" t="n">
        <x:v>6</x:v>
      </x:c>
      <x:c r="G40" s="34" t="str">
        <x:v>月考卷B</x:v>
      </x:c>
      <x:c r="H40" s="34" t="str">
        <x:v>下列關於臺灣漁業環境特色的敘述，哪一項錯誤？</x:v>
      </x:c>
      <x:c r="I40" s="34" t="str">
        <x:v>西部海域海底是落差極大的斜坡</x:v>
      </x:c>
      <x:c r="J40" s="34" t="str">
        <x:v>常年經過的海流帶來豐富的魚類資源</x:v>
      </x:c>
      <x:c r="K40" s="34" t="str">
        <x:v>以遠洋捕撈和養殖漁業為主</x:v>
      </x:c>
      <x:c r="L40" s="34" t="str">
        <x:v>水產養殖技術聞名國際，有養殖王國之稱</x:v>
      </x:c>
      <x:c r="M40" s="34" t="str">
        <x:v>A</x:v>
      </x:c>
      <x:c r="N40" s="34" t="str">
        <x:v>西部海域海底是落差極大的斜坡</x:v>
      </x:c>
      <x:c r="O40" s="34" t="str">
        <x:v>先圈出題幹中的否定詞，再逐一檢查四個選項。</x:v>
      </x:c>
      <x:c r="P40" s="34" t="str">
        <x:v>關鍵答案是「西部海域海底是落差極大的斜坡」。臺灣周邊海流交會，帶來多樣漁業資源；過度捕撈會使魚群減少，因此需要適當的取用與管理。</x:v>
      </x:c>
      <x:c r="Q40" s="34" t="str">
        <x:v>判斷正確！你找到了「西部海域海底是落差極大的斜坡」這個關鍵。臺灣周邊海流交會，帶來多樣漁業資源；過度捕撈會使魚群減少，因此需要適當的取用與管理。</x:v>
      </x:c>
      <x:c r="R40" s="34" t="str">
        <x:v>先不要選「常年經過的海流帶來豐富的魚類資源」。把人物、地點或概念重新配對後，應是「西部海域海底是落差極大的斜坡」。臺灣周邊海流交會，帶來多樣漁業資源；過度捕撈會使魚群減少，因此需要適當的取用與管理。</x:v>
      </x:c>
      <x:c r="S40" s="34" t="str">
        <x:v>「以遠洋捕撈和養殖漁業為主」是干擾資料，和本題線索對不上；請改從「西部海域海底是落差極大的斜坡」思考。臺灣周邊海流交會，帶來多樣漁業資源；過度捕撈會使魚群減少，因此需要適當的取用與管理。</x:v>
      </x:c>
      <x:c r="T40" s="34" t="str">
        <x:v>這題不是在找「水產養殖技術聞名國際，有養殖王國之稱」。對照課本後，「西部海域海底是落差極大的斜坡」才符合題意。臺灣周邊海流交會，帶來多樣漁業資源；過度捕撈會使魚群減少，因此需要適當的取用與管理。</x:v>
      </x:c>
      <x:c r="U40" s="34" t="str">
        <x:v>判斷正確</x:v>
      </x:c>
      <x:c r="V40" s="34" t="str">
        <x:v>題幹條件配對錯誤</x:v>
      </x:c>
      <x:c r="W40" s="34" t="str">
        <x:v>題幹條件配對錯誤</x:v>
      </x:c>
      <x:c r="X40" s="34" t="str">
        <x:v>題幹條件配對錯誤</x:v>
      </x:c>
      <x:c r="Y40" s="34" t="str">
        <x:v>臺灣周邊海流交會，帶來多樣漁業資源；過度捕撈會使魚群減少，因此需要適當的取用與管理。</x:v>
      </x:c>
      <x:c r="Z40" s="34" t="str">
        <x:v>劉銘傳是臺灣建省後的首任巡撫，推動鐵路、電報等建設；清法戰爭期間也加強淡水防務。</x:v>
      </x:c>
      <x:c r="AA40" s="34" t="str">
        <x:v>這題要比較發電方式的條件、限制與對居民或環境的影響。</x:v>
      </x:c>
      <x:c r="AB40" s="34" t="str">
        <x:v>A</x:v>
      </x:c>
      <x:c r="AC40" s="34" t="str">
        <x:v>這項說明能直接支持「西部海域海底是落差極大的斜坡」，也補上題目背後的課本知識。</x:v>
      </x:c>
      <x:c r="AD40" s="34" t="str">
        <x:v>這項知識本身可能正確，但屬於其他單元，不能用來證明本題答案。</x:v>
      </x:c>
      <x:c r="AE40" s="34" t="str">
        <x:v>這段資料談的是另一個主題，和目前題幹缺少直接關係。</x:v>
      </x:c>
      <x:c r="AF40" s="34" t="str">
        <x:v>回到課本地圖、時間線或表格，找出能再次驗證這個答案的資料。</x:v>
      </x:c>
      <x:c r="AG40" s="34" t="str">
        <x:v>月考卷B</x:v>
      </x:c>
      <x:c r="AH40" s="34" t="str">
        <x:v>B02_5上社會月考卷_第二~三單元_教用_.pdf</x:v>
      </x:c>
      <x:c r="AI40" s="34" t="n">
        <x:v>4</x:v>
      </x:c>
    </x:row>
    <x:row r="41" ht="76" customHeight="1">
      <x:c r="A41" s="34" t="str">
        <x:v>5A-U3</x:v>
      </x:c>
      <x:c r="B41" s="34" t="str">
        <x:v>五上</x:v>
      </x:c>
      <x:c r="C41" s="34" t="n">
        <x:v>3</x:v>
      </x:c>
      <x:c r="D41" s="34" t="str">
        <x:v>臺灣的物產資源</x:v>
      </x:c>
      <x:c r="E41" s="34" t="str">
        <x:v>5A-U3-PAPER</x:v>
      </x:c>
      <x:c r="F41" s="34" t="n">
        <x:v>7</x:v>
      </x:c>
      <x:c r="G41" s="34" t="str">
        <x:v>隨堂卷</x:v>
      </x:c>
      <x:c r="H41" s="34" t="str">
        <x:v>早期九份居民大多以砍伐樟樹、提煉樟腦為生，後來隨著哪一種礦產資源的開發，採礦逐漸成為當地主要經濟活動？</x:v>
      </x:c>
      <x:c r="I41" s="34" t="str">
        <x:v>金礦</x:v>
      </x:c>
      <x:c r="J41" s="34" t="str">
        <x:v>煤礦</x:v>
      </x:c>
      <x:c r="K41" s="34" t="str">
        <x:v>大理石礦</x:v>
      </x:c>
      <x:c r="L41" s="34" t="str">
        <x:v>銀礦</x:v>
      </x:c>
      <x:c r="M41" s="34" t="str">
        <x:v>A</x:v>
      </x:c>
      <x:c r="N41" s="34" t="str">
        <x:v>金礦</x:v>
      </x:c>
      <x:c r="O41" s="34" t="str">
        <x:v>抓住題幹的關鍵詞，再比較每個選項和課本內容是否相符。</x:v>
      </x:c>
      <x:c r="P41" s="34" t="str">
        <x:v>依課本內容，這題應選「金礦」。臺灣礦業曾帶動地方發展，但多數礦產逐漸停採；花蓮仍有大理石礦，瑞芳、九份過去則以煤或金礦聞名。</x:v>
      </x:c>
      <x:c r="Q41" s="34" t="str">
        <x:v>沒錯，課本中的相關資料支持「金礦」。臺灣礦業曾帶動地方發展，但多數礦產逐漸停採；花蓮仍有大理石礦，瑞芳、九份過去則以煤或金礦聞名。</x:v>
      </x:c>
      <x:c r="R41" s="34" t="str">
        <x:v>「煤礦」是干擾資料，和本題線索對不上；請改從「金礦」思考。臺灣礦業曾帶動地方發展，但多數礦產逐漸停採；花蓮仍有大理石礦，瑞芳、九份過去則以煤或金礦聞名。</x:v>
      </x:c>
      <x:c r="S41" s="34" t="str">
        <x:v>這題不是在找「大理石礦」。對照課本後，「金礦」才符合題意。臺灣礦業曾帶動地方發展，但多數礦產逐漸停採；花蓮仍有大理石礦，瑞芳、九份過去則以煤或金礦聞名。</x:v>
      </x:c>
      <x:c r="T41" s="34" t="str">
        <x:v>選項「銀礦」混入了不同背景的資料。回看題幹，應選「金礦」。臺灣礦業曾帶動地方發展，但多數礦產逐漸停採；花蓮仍有大理石礦，瑞芳、九份過去則以煤或金礦聞名。</x:v>
      </x:c>
      <x:c r="U41" s="34" t="str">
        <x:v>判斷正確</x:v>
      </x:c>
      <x:c r="V41" s="34" t="str">
        <x:v>題幹條件配對錯誤</x:v>
      </x:c>
      <x:c r="W41" s="34" t="str">
        <x:v>題幹條件配對錯誤</x:v>
      </x:c>
      <x:c r="X41" s="34" t="str">
        <x:v>題幹條件配對錯誤</x:v>
      </x:c>
      <x:c r="Y41" s="34" t="str">
        <x:v>臺灣礦業曾帶動地方發展，但多數礦產逐漸停採；花蓮仍有大理石礦，瑞芳、九份過去則以煤或金礦聞名。</x:v>
      </x:c>
      <x:c r="Z41" s="34" t="str">
        <x:v>核能可大量供電，但核廢料處置與事故風險需要長期管理；政策也必須和受影響居民充分溝通。</x:v>
      </x:c>
      <x:c r="AA41" s="34" t="str">
        <x:v>日本統治時期增設水力與火力發電設備，電燈與電力逐漸進入城市及生活，但供電系統仍需維護。</x:v>
      </x:c>
      <x:c r="AB41" s="34" t="str">
        <x:v>A</x:v>
      </x:c>
      <x:c r="AC41" s="34" t="str">
        <x:v>這項說明能直接支持「金礦」，也補上題目背後的課本知識。</x:v>
      </x:c>
      <x:c r="AD41" s="34" t="str">
        <x:v>這項知識本身可能正確，但屬於其他單元，不能用來證明本題答案。</x:v>
      </x:c>
      <x:c r="AE41" s="34" t="str">
        <x:v>這段資料談的是另一個主題，和目前題幹缺少直接關係。</x:v>
      </x:c>
      <x:c r="AF41" s="34" t="str">
        <x:v>回到課本地圖、時間線或表格，找出能再次驗證這個答案的資料。</x:v>
      </x:c>
      <x:c r="AG41" s="34" t="str">
        <x:v>隨堂卷</x:v>
      </x:c>
      <x:c r="AH41" s="34" t="str">
        <x:v>03_5上社會隨堂卷_第三單元臺灣的物產資源_教用_.pdf</x:v>
      </x:c>
      <x:c r="AI41" s="34" t="n">
        <x:v>5</x:v>
      </x:c>
    </x:row>
    <x:row r="42" ht="76" customHeight="1">
      <x:c r="A42" s="34" t="str">
        <x:v>5A-U3</x:v>
      </x:c>
      <x:c r="B42" s="34" t="str">
        <x:v>五上</x:v>
      </x:c>
      <x:c r="C42" s="34" t="n">
        <x:v>3</x:v>
      </x:c>
      <x:c r="D42" s="34" t="str">
        <x:v>臺灣的物產資源</x:v>
      </x:c>
      <x:c r="E42" s="34" t="str">
        <x:v>5A-U3-PAPER</x:v>
      </x:c>
      <x:c r="F42" s="34" t="n">
        <x:v>8</x:v>
      </x:c>
      <x:c r="G42" s="34" t="str">
        <x:v>月考卷A</x:v>
      </x:c>
      <x:c r="H42" s="34" t="str">
        <x:v>目前全球多數海洋魚類資源，因為下列哪一項原因，而導致海洋漁獲正逐漸枯竭？</x:v>
      </x:c>
      <x:c r="I42" s="34" t="str">
        <x:v>養殖技術發達</x:v>
      </x:c>
      <x:c r="J42" s="34" t="str">
        <x:v>飲食習慣改變</x:v>
      </x:c>
      <x:c r="K42" s="34" t="str">
        <x:v>過度捕撈</x:v>
      </x:c>
      <x:c r="L42" s="34" t="str">
        <x:v>政策轉變</x:v>
      </x:c>
      <x:c r="M42" s="34" t="str">
        <x:v>C</x:v>
      </x:c>
      <x:c r="N42" s="34" t="str">
        <x:v>過度捕撈</x:v>
      </x:c>
      <x:c r="O42" s="34" t="str">
        <x:v>找出題幹中的原因與結果，檢查兩者是否能連起來。</x:v>
      </x:c>
      <x:c r="P42" s="34" t="str">
        <x:v>把題幹線索和課本資料對照，可找到「過度捕撈」。臺灣周邊海流交會，帶來多樣漁業資源；過度捕撈會使魚群減少，因此需要適當的取用與管理。</x:v>
      </x:c>
      <x:c r="Q42" s="34" t="str">
        <x:v>「養殖技術發達」是干擾資料，和本題線索對不上；請改從「過度捕撈」思考。臺灣周邊海流交會，帶來多樣漁業資源；過度捕撈會使魚群減少，因此需要適當的取用與管理。</x:v>
      </x:c>
      <x:c r="R42" s="34" t="str">
        <x:v>這題不是在找「飲食習慣改變」。對照課本後，「過度捕撈」才符合題意。臺灣周邊海流交會，帶來多樣漁業資源；過度捕撈會使魚群減少，因此需要適當的取用與管理。</x:v>
      </x:c>
      <x:c r="S42" s="34" t="str">
        <x:v>這項選擇成立；「過度捕撈」符合題目要求。臺灣周邊海流交會，帶來多樣漁業資源；過度捕撈會使魚群減少，因此需要適當的取用與管理。</x:v>
      </x:c>
      <x:c r="T42" s="34" t="str">
        <x:v>「政策轉變」沒有符合題幹限定的條件。正確方向是「過度捕撈」；臺灣周邊海流交會，帶來多樣漁業資源；過度捕撈會使魚群減少，因此需要適當的取用與管理。</x:v>
      </x:c>
      <x:c r="U42" s="34" t="str">
        <x:v>題幹條件配對錯誤</x:v>
      </x:c>
      <x:c r="V42" s="34" t="str">
        <x:v>題幹條件配對錯誤</x:v>
      </x:c>
      <x:c r="W42" s="34" t="str">
        <x:v>判斷正確</x:v>
      </x:c>
      <x:c r="X42" s="34" t="str">
        <x:v>題幹條件配對錯誤</x:v>
      </x:c>
      <x:c r="Y42" s="34" t="str">
        <x:v>臺灣周邊海流交會，帶來多樣漁業資源；過度捕撈會使魚群減少，因此需要適當的取用與管理。</x:v>
      </x:c>
      <x:c r="Z42" s="34" t="str">
        <x:v>火力發電依靠煤、石油或天然氣等燃料，不屬於再生能源；再生能源則可在自然循環中持續補充。</x:v>
      </x:c>
      <x:c r="AA42" s="34" t="str">
        <x:v>水力發電利用水流，但會受降雨與水量影響，興建設施也可能改變河川環境。</x:v>
      </x:c>
      <x:c r="AB42" s="34" t="str">
        <x:v>A</x:v>
      </x:c>
      <x:c r="AC42" s="34" t="str">
        <x:v>這項說明能直接支持「過度捕撈」，也補上題目背後的課本知識。</x:v>
      </x:c>
      <x:c r="AD42" s="34" t="str">
        <x:v>這項知識本身可能正確，但屬於其他單元，不能用來證明本題答案。</x:v>
      </x:c>
      <x:c r="AE42" s="34" t="str">
        <x:v>這段資料談的是另一個主題，和目前題幹缺少直接關係。</x:v>
      </x:c>
      <x:c r="AF42" s="34" t="str">
        <x:v>回到課本地圖、時間線或表格，找出能再次驗證這個答案的資料。</x:v>
      </x:c>
      <x:c r="AG42" s="34" t="str">
        <x:v>月考卷A</x:v>
      </x:c>
      <x:c r="AH42" s="34" t="str">
        <x:v>A02_5上社會月考卷_第二~三單元_教用_.pdf</x:v>
      </x:c>
      <x:c r="AI42" s="34" t="n">
        <x:v>7</x:v>
      </x:c>
    </x:row>
    <x:row r="43" ht="76" customHeight="1">
      <x:c r="A43" s="34" t="str">
        <x:v>5A-U3</x:v>
      </x:c>
      <x:c r="B43" s="34" t="str">
        <x:v>五上</x:v>
      </x:c>
      <x:c r="C43" s="34" t="n">
        <x:v>3</x:v>
      </x:c>
      <x:c r="D43" s="34" t="str">
        <x:v>臺灣的物產資源</x:v>
      </x:c>
      <x:c r="E43" s="34" t="str">
        <x:v>5A-U3-PAPER</x:v>
      </x:c>
      <x:c r="F43" s="34" t="n">
        <x:v>9</x:v>
      </x:c>
      <x:c r="G43" s="34" t="str">
        <x:v>月考卷B</x:v>
      </x:c>
      <x:c r="H43" s="34" t="str">
        <x:v>下列關於臺灣產業發展的敘述，哪一項正確？</x:v>
      </x:c>
      <x:c r="I43" s="34" t="str">
        <x:v>現在政府仍持續開闢大型林場</x:v>
      </x:c>
      <x:c r="J43" s="34" t="str">
        <x:v>虎尾糖廠的蔗糖多由日本進口</x:v>
      </x:c>
      <x:c r="K43" s="34" t="str">
        <x:v>許多山區開始朝向生態旅遊發展</x:v>
      </x:c>
      <x:c r="L43" s="34" t="str">
        <x:v>砍伐樹木有助於避免水土流失</x:v>
      </x:c>
      <x:c r="M43" s="34" t="str">
        <x:v>C</x:v>
      </x:c>
      <x:c r="N43" s="34" t="str">
        <x:v>許多山區開始朝向生態旅遊發展</x:v>
      </x:c>
      <x:c r="O43" s="34" t="str">
        <x:v>抓住題幹的關鍵詞，再比較每個選項和課本內容是否相符。</x:v>
      </x:c>
      <x:c r="P43" s="34" t="str">
        <x:v>「許多山區開始朝向生態旅遊發展」最符合題目所問的時間、地點或概念。資源產業轉型時，可透過生態旅遊或文化保存創造新機會，但仍須評估對地方與環境的影響。</x:v>
      </x:c>
      <x:c r="Q43" s="34" t="str">
        <x:v>這題不是在找「現在政府仍持續開闢大型林場」。對照課本後，「許多山區開始朝向生態旅遊發展」才符合題意。資源產業轉型時，可透過生態旅遊或文化保存創造新機會，但仍須評估對地方與環境的影響。</x:v>
      </x:c>
      <x:c r="R43" s="34" t="str">
        <x:v>選項「虎尾糖廠的蔗糖多由日本進口」混入了不同背景的資料。回看題幹，應選「許多山區開始朝向生態旅遊發展」。資源產業轉型時，可透過生態旅遊或文化保存創造新機會，但仍須評估對地方與環境的影響。</x:v>
      </x:c>
      <x:c r="S43" s="34" t="str">
        <x:v>答對了，「許多山區開始朝向生態旅遊發展」和題幹線索相符。資源產業轉型時，可透過生態旅遊或文化保存創造新機會，但仍須評估對地方與環境的影響。</x:v>
      </x:c>
      <x:c r="T43" s="34" t="str">
        <x:v>先不要選「砍伐樹木有助於避免水土流失」。把人物、地點或概念重新配對後，應是「許多山區開始朝向生態旅遊發展」。資源產業轉型時，可透過生態旅遊或文化保存創造新機會，但仍須評估對地方與環境的影響。</x:v>
      </x:c>
      <x:c r="U43" s="34" t="str">
        <x:v>題幹條件配對錯誤</x:v>
      </x:c>
      <x:c r="V43" s="34" t="str">
        <x:v>題幹條件配對錯誤</x:v>
      </x:c>
      <x:c r="W43" s="34" t="str">
        <x:v>判斷正確</x:v>
      </x:c>
      <x:c r="X43" s="34" t="str">
        <x:v>題幹條件配對錯誤</x:v>
      </x:c>
      <x:c r="Y43" s="34" t="str">
        <x:v>資源產業轉型時，可透過生態旅遊或文化保存創造新機會，但仍須評估對地方與環境的影響。</x:v>
      </x:c>
      <x:c r="Z43" s="34" t="str">
        <x:v>遇到瑕疵商品可保留交易證明、向業者反映，並依消費者保護法或撥打 1950 尋求協助。</x:v>
      </x:c>
      <x:c r="AA43" s="34" t="str">
        <x:v>消費會受到需求、價格、品質、廣告與同儕流行等因素影響，仍應先判斷是否真正需要。</x:v>
      </x:c>
      <x:c r="AB43" s="34" t="str">
        <x:v>A</x:v>
      </x:c>
      <x:c r="AC43" s="34" t="str">
        <x:v>這項說明能直接支持「許多山區開始朝向生態旅遊發展」，也補上題目背後的課本知識。</x:v>
      </x:c>
      <x:c r="AD43" s="34" t="str">
        <x:v>這項知識本身可能正確，但屬於其他單元，不能用來證明本題答案。</x:v>
      </x:c>
      <x:c r="AE43" s="34" t="str">
        <x:v>這段資料談的是另一個主題，和目前題幹缺少直接關係。</x:v>
      </x:c>
      <x:c r="AF43" s="34" t="str">
        <x:v>回到課本地圖、時間線或表格，找出能再次驗證這個答案的資料。</x:v>
      </x:c>
      <x:c r="AG43" s="34" t="str">
        <x:v>月考卷B</x:v>
      </x:c>
      <x:c r="AH43" s="34" t="str">
        <x:v>B02_5上社會月考卷_第二~三單元_教用_.pdf</x:v>
      </x:c>
      <x:c r="AI43" s="34" t="n">
        <x:v>9</x:v>
      </x:c>
    </x:row>
    <x:row r="44" ht="76" customHeight="1">
      <x:c r="A44" s="34" t="str">
        <x:v>5A-U3</x:v>
      </x:c>
      <x:c r="B44" s="34" t="str">
        <x:v>五上</x:v>
      </x:c>
      <x:c r="C44" s="34" t="n">
        <x:v>3</x:v>
      </x:c>
      <x:c r="D44" s="34" t="str">
        <x:v>臺灣的物產資源</x:v>
      </x:c>
      <x:c r="E44" s="34" t="str">
        <x:v>5A-U3-PAPER</x:v>
      </x:c>
      <x:c r="F44" s="34" t="n">
        <x:v>10</x:v>
      </x:c>
      <x:c r="G44" s="34" t="str">
        <x:v>隨堂卷</x:v>
      </x:c>
      <x:c r="H44" s="34" t="str">
        <x:v>民國50多年時，南投車埕因為發展哪種產業，為當地帶來大量經濟效益？</x:v>
      </x:c>
      <x:c r="I44" s="34" t="str">
        <x:v>畜牧業</x:v>
      </x:c>
      <x:c r="J44" s="34" t="str">
        <x:v>林業</x:v>
      </x:c>
      <x:c r="K44" s="34" t="str">
        <x:v>漁業</x:v>
      </x:c>
      <x:c r="L44" s="34" t="str">
        <x:v>礦業</x:v>
      </x:c>
      <x:c r="M44" s="34" t="str">
        <x:v>B</x:v>
      </x:c>
      <x:c r="N44" s="34" t="str">
        <x:v>林業</x:v>
      </x:c>
      <x:c r="O44" s="34" t="str">
        <x:v>抓住題幹的關鍵詞，再比較每個選項和課本內容是否相符。</x:v>
      </x:c>
      <x:c r="P44" s="34" t="str">
        <x:v>判斷重點不在字數，而在內容是否符合課本；答案是「林業」。臺灣周邊海流交會，帶來多樣漁業資源；過度捕撈會使魚群減少，因此需要適當的取用與管理。</x:v>
      </x:c>
      <x:c r="Q44" s="34" t="str">
        <x:v>選項「畜牧業」混入了不同背景的資料。回看題幹，應選「林業」。臺灣周邊海流交會，帶來多樣漁業資源；過度捕撈會使魚群減少，因此需要適當的取用與管理。</x:v>
      </x:c>
      <x:c r="R44" s="34" t="str">
        <x:v>判斷正確！你找到了「林業」這個關鍵。臺灣周邊海流交會，帶來多樣漁業資源；過度捕撈會使魚群減少，因此需要適當的取用與管理。</x:v>
      </x:c>
      <x:c r="S44" s="34" t="str">
        <x:v>先不要選「漁業」。把人物、地點或概念重新配對後，應是「林業」。臺灣周邊海流交會，帶來多樣漁業資源；過度捕撈會使魚群減少，因此需要適當的取用與管理。</x:v>
      </x:c>
      <x:c r="T44" s="34" t="str">
        <x:v>「礦業」是干擾資料，和本題線索對不上；請改從「林業」思考。臺灣周邊海流交會，帶來多樣漁業資源；過度捕撈會使魚群減少，因此需要適當的取用與管理。</x:v>
      </x:c>
      <x:c r="U44" s="34" t="str">
        <x:v>題幹條件配對錯誤</x:v>
      </x:c>
      <x:c r="V44" s="34" t="str">
        <x:v>判斷正確</x:v>
      </x:c>
      <x:c r="W44" s="34" t="str">
        <x:v>題幹條件配對錯誤</x:v>
      </x:c>
      <x:c r="X44" s="34" t="str">
        <x:v>題幹條件配對錯誤</x:v>
      </x:c>
      <x:c r="Y44" s="34" t="str">
        <x:v>臺灣周邊海流交會，帶來多樣漁業資源；過度捕撈會使魚群減少，因此需要適當的取用與管理。</x:v>
      </x:c>
      <x:c r="Z44" s="34" t="str">
        <x:v>投資報酬並不保證，風險是結果可能獲利也可能虧損；選擇前要評估自己能承受的損失。</x:v>
      </x:c>
      <x:c r="AA44" s="34" t="str">
        <x:v>可疑中獎、轉帳或假包裹訊息可能是詐騙；不要急著付款，應利用 165 等正式管道查證。</x:v>
      </x:c>
      <x:c r="AB44" s="34" t="str">
        <x:v>A</x:v>
      </x:c>
      <x:c r="AC44" s="34" t="str">
        <x:v>這項說明能直接支持「林業」，也補上題目背後的課本知識。</x:v>
      </x:c>
      <x:c r="AD44" s="34" t="str">
        <x:v>這項知識本身可能正確，但屬於其他單元，不能用來證明本題答案。</x:v>
      </x:c>
      <x:c r="AE44" s="34" t="str">
        <x:v>這段資料談的是另一個主題，和目前題幹缺少直接關係。</x:v>
      </x:c>
      <x:c r="AF44" s="34" t="str">
        <x:v>回到課本地圖、時間線或表格，找出能再次驗證這個答案的資料。</x:v>
      </x:c>
      <x:c r="AG44" s="34" t="str">
        <x:v>隨堂卷</x:v>
      </x:c>
      <x:c r="AH44" s="34" t="str">
        <x:v>03_5上社會隨堂卷_第三單元臺灣的物產資源_教用_.pdf</x:v>
      </x:c>
      <x:c r="AI44" s="34" t="n">
        <x:v>6</x:v>
      </x:c>
    </x:row>
    <x:row r="45" ht="76" customHeight="1">
      <x:c r="A45" s="34" t="str">
        <x:v>5A-U3</x:v>
      </x:c>
      <x:c r="B45" s="34" t="str">
        <x:v>五上</x:v>
      </x:c>
      <x:c r="C45" s="34" t="n">
        <x:v>3</x:v>
      </x:c>
      <x:c r="D45" s="34" t="str">
        <x:v>臺灣的物產資源</x:v>
      </x:c>
      <x:c r="E45" s="34" t="str">
        <x:v>5A-U3-PAPER</x:v>
      </x:c>
      <x:c r="F45" s="34" t="n">
        <x:v>11</x:v>
      </x:c>
      <x:c r="G45" s="34" t="str">
        <x:v>月考卷B</x:v>
      </x:c>
      <x:c r="H45" s="34" t="str">
        <x:v>下列關於臺灣礦業發展的敘述，哪一項錯誤？</x:v>
      </x:c>
      <x:c r="I45" s="34" t="str">
        <x:v>礦物資源大多分布在北部和中部</x:v>
      </x:c>
      <x:c r="J45" s="34" t="str">
        <x:v>瑞芳區的煤礦曾是全臺主要的礦場</x:v>
      </x:c>
      <x:c r="K45" s="34" t="str">
        <x:v>早期九份以開採石油而聞名</x:v>
      </x:c>
      <x:c r="L45" s="34" t="str">
        <x:v>有煤、石油、天然氣等礦物資源</x:v>
      </x:c>
      <x:c r="M45" s="34" t="str">
        <x:v>C</x:v>
      </x:c>
      <x:c r="N45" s="34" t="str">
        <x:v>早期九份以開採石油而聞名</x:v>
      </x:c>
      <x:c r="O45" s="34" t="str">
        <x:v>先圈出題幹中的否定詞，再逐一檢查四個選項。</x:v>
      </x:c>
      <x:c r="P45" s="34" t="str">
        <x:v>關鍵答案是「早期九份以開採石油而聞名」。臺灣礦業曾帶動地方發展，但多數礦產逐漸停採；花蓮仍有大理石礦，瑞芳、九份過去則以煤或金礦聞名。</x:v>
      </x:c>
      <x:c r="Q45" s="34" t="str">
        <x:v>「礦物資源大多分布在北部和中部」沒有符合題幹限定的條件。正確方向是「早期九份以開採石油而聞名」；臺灣礦業曾帶動地方發展，但多數礦產逐漸停採；花蓮仍有大理石礦，瑞芳、九份過去則以煤或金礦聞名。</x:v>
      </x:c>
      <x:c r="R45" s="34" t="str">
        <x:v>先不要選「瑞芳區的煤礦曾是全臺主要的礦場」。把人物、地點或概念重新配對後，應是「早期九份以開採石油而聞名」。臺灣礦業曾帶動地方發展，但多數礦產逐漸停採；花蓮仍有大理石礦，瑞芳、九份過去則以煤或金礦聞名。</x:v>
      </x:c>
      <x:c r="S45" s="34" t="str">
        <x:v>沒錯，課本中的相關資料支持「早期九份以開採石油而聞名」。臺灣礦業曾帶動地方發展，但多數礦產逐漸停採；花蓮仍有大理石礦，瑞芳、九份過去則以煤或金礦聞名。</x:v>
      </x:c>
      <x:c r="T45" s="34" t="str">
        <x:v>這題不是在找「有煤、石油、天然氣等礦物資源」。對照課本後，「早期九份以開採石油而聞名」才符合題意。臺灣礦業曾帶動地方發展，但多數礦產逐漸停採；花蓮仍有大理石礦，瑞芳、九份過去則以煤或金礦聞名。</x:v>
      </x:c>
      <x:c r="U45" s="34" t="str">
        <x:v>題幹條件配對錯誤</x:v>
      </x:c>
      <x:c r="V45" s="34" t="str">
        <x:v>題幹條件配對錯誤</x:v>
      </x:c>
      <x:c r="W45" s="34" t="str">
        <x:v>判斷正確</x:v>
      </x:c>
      <x:c r="X45" s="34" t="str">
        <x:v>題幹條件配對錯誤</x:v>
      </x:c>
      <x:c r="Y45" s="34" t="str">
        <x:v>臺灣礦業曾帶動地方發展，但多數礦產逐漸停採；花蓮仍有大理石礦，瑞芳、九份過去則以煤或金礦聞名。</x:v>
      </x:c>
      <x:c r="Z45" s="34" t="str">
        <x:v>臺灣東部多陡峭斷崖、西部多平直沙岸、北部多岬灣，南部則可見珊瑚礁海岸；高雄港利用潟湖地形發展。</x:v>
      </x:c>
      <x:c r="AA45" s="34" t="str">
        <x:v>八仙洞遺址可見舊石器時代的生活線索，當時人們主要採集、狩獵，尚未發展農耕定居。</x:v>
      </x:c>
      <x:c r="AB45" s="34" t="str">
        <x:v>A</x:v>
      </x:c>
      <x:c r="AC45" s="34" t="str">
        <x:v>這項說明能直接支持「早期九份以開採石油而聞名」，也補上題目背後的課本知識。</x:v>
      </x:c>
      <x:c r="AD45" s="34" t="str">
        <x:v>這項知識本身可能正確，但屬於其他單元，不能用來證明本題答案。</x:v>
      </x:c>
      <x:c r="AE45" s="34" t="str">
        <x:v>這段資料談的是另一個主題，和目前題幹缺少直接關係。</x:v>
      </x:c>
      <x:c r="AF45" s="34" t="str">
        <x:v>回到課本地圖、時間線或表格，找出能再次驗證這個答案的資料。</x:v>
      </x:c>
      <x:c r="AG45" s="34" t="str">
        <x:v>月考卷B</x:v>
      </x:c>
      <x:c r="AH45" s="34" t="str">
        <x:v>B02_5上社會月考卷_第二~三單元_教用_.pdf</x:v>
      </x:c>
      <x:c r="AI45" s="34" t="n">
        <x:v>10</x:v>
      </x:c>
    </x:row>
    <x:row r="46" ht="76" customHeight="1">
      <x:c r="A46" s="34" t="str">
        <x:v>5A-U3</x:v>
      </x:c>
      <x:c r="B46" s="34" t="str">
        <x:v>五上</x:v>
      </x:c>
      <x:c r="C46" s="34" t="n">
        <x:v>3</x:v>
      </x:c>
      <x:c r="D46" s="34" t="str">
        <x:v>臺灣的物產資源</x:v>
      </x:c>
      <x:c r="E46" s="34" t="str">
        <x:v>5A-U3-PAPER</x:v>
      </x:c>
      <x:c r="F46" s="34" t="n">
        <x:v>12</x:v>
      </x:c>
      <x:c r="G46" s="34" t="str">
        <x:v>隨堂卷</x:v>
      </x:c>
      <x:c r="H46" s="34" t="str">
        <x:v>下列有關「山區發展」的敘述，哪一項錯誤？</x:v>
      </x:c>
      <x:c r="I46" s="34" t="str">
        <x:v>許多山區開始朝向生態旅遊發展</x:v>
      </x:c>
      <x:c r="J46" s="34" t="str">
        <x:v>開始重視當地的文史資源</x:v>
      </x:c>
      <x:c r="K46" s="34" t="str">
        <x:v>大多數山區都已經發展為城市</x:v>
      </x:c>
      <x:c r="L46" s="34" t="str">
        <x:v>開始打造具地方特色的產品與服務</x:v>
      </x:c>
      <x:c r="M46" s="34" t="str">
        <x:v>C</x:v>
      </x:c>
      <x:c r="N46" s="34" t="str">
        <x:v>大多數山區都已經發展為城市</x:v>
      </x:c>
      <x:c r="O46" s="34" t="str">
        <x:v>先圈出題幹中的否定詞，再逐一檢查四個選項。</x:v>
      </x:c>
      <x:c r="P46" s="34" t="str">
        <x:v>依課本內容，這題應選「大多數山區都已經發展為城市」。資源產業轉型時，可透過生態旅遊或文化保存創造新機會，但仍須評估對地方與環境的影響。</x:v>
      </x:c>
      <x:c r="Q46" s="34" t="str">
        <x:v>先不要選「許多山區開始朝向生態旅遊發展」。把人物、地點或概念重新配對後，應是「大多數山區都已經發展為城市」。資源產業轉型時，可透過生態旅遊或文化保存創造新機會，但仍須評估對地方與環境的影響。</x:v>
      </x:c>
      <x:c r="R46" s="34" t="str">
        <x:v>「開始重視當地的文史資源」是干擾資料，和本題線索對不上；請改從「大多數山區都已經發展為城市」思考。資源產業轉型時，可透過生態旅遊或文化保存創造新機會，但仍須評估對地方與環境的影響。</x:v>
      </x:c>
      <x:c r="S46" s="34" t="str">
        <x:v>這項選擇成立；「大多數山區都已經發展為城市」符合題目要求。資源產業轉型時，可透過生態旅遊或文化保存創造新機會，但仍須評估對地方與環境的影響。</x:v>
      </x:c>
      <x:c r="T46" s="34" t="str">
        <x:v>選項「開始打造具地方特色的產品與服務」混入了不同背景的資料。回看題幹，應選「大多數山區都已經發展為城市」。資源產業轉型時，可透過生態旅遊或文化保存創造新機會，但仍須評估對地方與環境的影響。</x:v>
      </x:c>
      <x:c r="U46" s="34" t="str">
        <x:v>題幹條件配對錯誤</x:v>
      </x:c>
      <x:c r="V46" s="34" t="str">
        <x:v>題幹條件配對錯誤</x:v>
      </x:c>
      <x:c r="W46" s="34" t="str">
        <x:v>判斷正確</x:v>
      </x:c>
      <x:c r="X46" s="34" t="str">
        <x:v>題幹條件配對錯誤</x:v>
      </x:c>
      <x:c r="Y46" s="34" t="str">
        <x:v>資源產業轉型時，可透過生態旅遊或文化保存創造新機會，但仍須評估對地方與環境的影響。</x:v>
      </x:c>
      <x:c r="Z46" s="34" t="str">
        <x:v>臺灣東部多陡峭斷崖、西部多平直沙岸、北部多岬灣，南部則可見珊瑚礁海岸；高雄港利用潟湖地形發展。</x:v>
      </x:c>
      <x:c r="AA46" s="34" t="str">
        <x:v>這題要用臺灣的位置、地形或考古證據判斷，不能只靠印象。</x:v>
      </x:c>
      <x:c r="AB46" s="34" t="str">
        <x:v>A</x:v>
      </x:c>
      <x:c r="AC46" s="34" t="str">
        <x:v>這項說明能直接支持「大多數山區都已經發展為城市」，也補上題目背後的課本知識。</x:v>
      </x:c>
      <x:c r="AD46" s="34" t="str">
        <x:v>這項知識本身可能正確，但屬於其他單元，不能用來證明本題答案。</x:v>
      </x:c>
      <x:c r="AE46" s="34" t="str">
        <x:v>這段資料談的是另一個主題，和目前題幹缺少直接關係。</x:v>
      </x:c>
      <x:c r="AF46" s="34" t="str">
        <x:v>回到課本地圖、時間線或表格，找出能再次驗證這個答案的資料。</x:v>
      </x:c>
      <x:c r="AG46" s="34" t="str">
        <x:v>隨堂卷</x:v>
      </x:c>
      <x:c r="AH46" s="34" t="str">
        <x:v>03_5上社會隨堂卷_第三單元臺灣的物產資源_教用_.pdf</x:v>
      </x:c>
      <x:c r="AI46" s="34" t="n">
        <x:v>7</x:v>
      </x:c>
    </x:row>
    <x:row r="47" ht="76" customHeight="1">
      <x:c r="A47" s="34" t="str">
        <x:v>5A-U3</x:v>
      </x:c>
      <x:c r="B47" s="34" t="str">
        <x:v>五上</x:v>
      </x:c>
      <x:c r="C47" s="34" t="n">
        <x:v>3</x:v>
      </x:c>
      <x:c r="D47" s="34" t="str">
        <x:v>臺灣的物產資源</x:v>
      </x:c>
      <x:c r="E47" s="34" t="str">
        <x:v>5A-U3-PAPER</x:v>
      </x:c>
      <x:c r="F47" s="34" t="n">
        <x:v>13</x:v>
      </x:c>
      <x:c r="G47" s="34" t="str">
        <x:v>月考卷A</x:v>
      </x:c>
      <x:c r="H47" s="34" t="str">
        <x:v>下列哪一種做法，對於保護地球環境沒有幫助？</x:v>
      </x:c>
      <x:c r="I47" s="34" t="str">
        <x:v>以混農林方式開墾</x:v>
      </x:c>
      <x:c r="J47" s="34" t="str">
        <x:v>使用化學肥料</x:v>
      </x:c>
      <x:c r="K47" s="34" t="str">
        <x:v>朝向生態旅遊發展</x:v>
      </x:c>
      <x:c r="L47" s="34" t="str">
        <x:v>復育漁業資源</x:v>
      </x:c>
      <x:c r="M47" s="34" t="str">
        <x:v>B</x:v>
      </x:c>
      <x:c r="N47" s="34" t="str">
        <x:v>使用化學肥料</x:v>
      </x:c>
      <x:c r="O47" s="34" t="str">
        <x:v>抓住題幹的關鍵詞，再比較每個選項和課本內容是否相符。</x:v>
      </x:c>
      <x:c r="P47" s="34" t="str">
        <x:v>把題幹線索和課本資料對照，可找到「使用化學肥料」。臺灣周邊海流交會，帶來多樣漁業資源；過度捕撈會使魚群減少，因此需要適當的取用與管理。</x:v>
      </x:c>
      <x:c r="Q47" s="34" t="str">
        <x:v>「以混農林方式開墾」是干擾資料，和本題線索對不上；請改從「使用化學肥料」思考。臺灣周邊海流交會，帶來多樣漁業資源；過度捕撈會使魚群減少，因此需要適當的取用與管理。</x:v>
      </x:c>
      <x:c r="R47" s="34" t="str">
        <x:v>答對了，「使用化學肥料」和題幹線索相符。臺灣周邊海流交會，帶來多樣漁業資源；過度捕撈會使魚群減少，因此需要適當的取用與管理。</x:v>
      </x:c>
      <x:c r="S47" s="34" t="str">
        <x:v>選項「朝向生態旅遊發展」混入了不同背景的資料。回看題幹，應選「使用化學肥料」。臺灣周邊海流交會，帶來多樣漁業資源；過度捕撈會使魚群減少，因此需要適當的取用與管理。</x:v>
      </x:c>
      <x:c r="T47" s="34" t="str">
        <x:v>「復育漁業資源」沒有符合題幹限定的條件。正確方向是「使用化學肥料」；臺灣周邊海流交會，帶來多樣漁業資源；過度捕撈會使魚群減少，因此需要適當的取用與管理。</x:v>
      </x:c>
      <x:c r="U47" s="34" t="str">
        <x:v>題幹條件配對錯誤</x:v>
      </x:c>
      <x:c r="V47" s="34" t="str">
        <x:v>判斷正確</x:v>
      </x:c>
      <x:c r="W47" s="34" t="str">
        <x:v>題幹條件配對錯誤</x:v>
      </x:c>
      <x:c r="X47" s="34" t="str">
        <x:v>題幹條件配對錯誤</x:v>
      </x:c>
      <x:c r="Y47" s="34" t="str">
        <x:v>臺灣周邊海流交會，帶來多樣漁業資源；過度捕撈會使魚群減少，因此需要適當的取用與管理。</x:v>
      </x:c>
      <x:c r="Z47" s="34" t="str">
        <x:v>這題要分清族群文化、生活規範與法律的差異，並尊重資料所指的對象。</x:v>
      </x:c>
      <x:c r="AA47" s="34" t="str">
        <x:v>法律由國家制定並具有強制力，可維持秩序、保障權利；少年事件處理法重視未成年人的健全成長。</x:v>
      </x:c>
      <x:c r="AB47" s="34" t="str">
        <x:v>A</x:v>
      </x:c>
      <x:c r="AC47" s="34" t="str">
        <x:v>這項說明能直接支持「使用化學肥料」，也補上題目背後的課本知識。</x:v>
      </x:c>
      <x:c r="AD47" s="34" t="str">
        <x:v>這項知識本身可能正確，但屬於其他單元，不能用來證明本題答案。</x:v>
      </x:c>
      <x:c r="AE47" s="34" t="str">
        <x:v>這段資料談的是另一個主題，和目前題幹缺少直接關係。</x:v>
      </x:c>
      <x:c r="AF47" s="34" t="str">
        <x:v>回到課本地圖、時間線或表格，找出能再次驗證這個答案的資料。</x:v>
      </x:c>
      <x:c r="AG47" s="34" t="str">
        <x:v>月考卷A</x:v>
      </x:c>
      <x:c r="AH47" s="34" t="str">
        <x:v>A05_5上社會月考卷_第三~四單元_教用_.pdf</x:v>
      </x:c>
      <x:c r="AI47" s="34" t="n">
        <x:v>4</x:v>
      </x:c>
    </x:row>
    <x:row r="48" ht="76" customHeight="1">
      <x:c r="A48" s="34" t="str">
        <x:v>5A-U3</x:v>
      </x:c>
      <x:c r="B48" s="34" t="str">
        <x:v>五上</x:v>
      </x:c>
      <x:c r="C48" s="34" t="n">
        <x:v>3</x:v>
      </x:c>
      <x:c r="D48" s="34" t="str">
        <x:v>臺灣的物產資源</x:v>
      </x:c>
      <x:c r="E48" s="34" t="str">
        <x:v>5A-U3-PAPER</x:v>
      </x:c>
      <x:c r="F48" s="34" t="n">
        <x:v>14</x:v>
      </x:c>
      <x:c r="G48" s="34" t="str">
        <x:v>月考卷B</x:v>
      </x:c>
      <x:c r="H48" s="34" t="str">
        <x:v>下列有關臺灣畜牧業的敘述，哪一項錯誤？</x:v>
      </x:c>
      <x:c r="I48" s="34" t="str">
        <x:v>早期飼養禽畜多只供應家戶食用</x:v>
      </x:c>
      <x:c r="J48" s="34" t="str">
        <x:v>生產成本比國外高</x:v>
      </x:c>
      <x:c r="K48" s="34" t="str">
        <x:v>沒有傳染病問題</x:v>
      </x:c>
      <x:c r="L48" s="34" t="str">
        <x:v>現在朝友善飼養等方向轉型</x:v>
      </x:c>
      <x:c r="M48" s="34" t="str">
        <x:v>C</x:v>
      </x:c>
      <x:c r="N48" s="34" t="str">
        <x:v>沒有傳染病問題</x:v>
      </x:c>
      <x:c r="O48" s="34" t="str">
        <x:v>先圈出題幹中的否定詞，再逐一檢查四個選項。</x:v>
      </x:c>
      <x:c r="P48" s="34" t="str">
        <x:v>「沒有傳染病問題」最符合題目所問的時間、地點或概念。畜牧業能供應肉、蛋、乳品，也需處理傳染病、動物照養與環境污染等問題。</x:v>
      </x:c>
      <x:c r="Q48" s="34" t="str">
        <x:v>這題不是在找「早期飼養禽畜多只供應家戶食用」。對照課本後，「沒有傳染病問題」才符合題意。畜牧業能供應肉、蛋、乳品，也需處理傳染病、動物照養與環境污染等問題。</x:v>
      </x:c>
      <x:c r="R48" s="34" t="str">
        <x:v>選項「生產成本比國外高」混入了不同背景的資料。回看題幹，應選「沒有傳染病問題」。畜牧業能供應肉、蛋、乳品，也需處理傳染病、動物照養與環境污染等問題。</x:v>
      </x:c>
      <x:c r="S48" s="34" t="str">
        <x:v>判斷正確！你找到了「沒有傳染病問題」這個關鍵。畜牧業能供應肉、蛋、乳品，也需處理傳染病、動物照養與環境污染等問題。</x:v>
      </x:c>
      <x:c r="T48" s="34" t="str">
        <x:v>先不要選「現在朝友善飼養等方向轉型」。把人物、地點或概念重新配對後，應是「沒有傳染病問題」。畜牧業能供應肉、蛋、乳品，也需處理傳染病、動物照養與環境污染等問題。</x:v>
      </x:c>
      <x:c r="U48" s="34" t="str">
        <x:v>題幹條件配對錯誤</x:v>
      </x:c>
      <x:c r="V48" s="34" t="str">
        <x:v>題幹條件配對錯誤</x:v>
      </x:c>
      <x:c r="W48" s="34" t="str">
        <x:v>判斷正確</x:v>
      </x:c>
      <x:c r="X48" s="34" t="str">
        <x:v>題幹條件配對錯誤</x:v>
      </x:c>
      <x:c r="Y48" s="34" t="str">
        <x:v>畜牧業能供應肉、蛋、乳品，也需處理傳染病、動物照養與環境污染等問題。</x:v>
      </x:c>
      <x:c r="Z48" s="34" t="str">
        <x:v>社會規範包括風俗、倫理道德、宗教信仰與法律，不同規範的形成方式和強制力並不相同。</x:v>
      </x:c>
      <x:c r="AA48" s="34" t="str">
        <x:v>平埔族群多居住在西部平原，因較早且頻繁與漢人接觸，部分文化受到漢化政策與社會變遷影響。</x:v>
      </x:c>
      <x:c r="AB48" s="34" t="str">
        <x:v>A</x:v>
      </x:c>
      <x:c r="AC48" s="34" t="str">
        <x:v>這項說明能直接支持「沒有傳染病問題」，也補上題目背後的課本知識。</x:v>
      </x:c>
      <x:c r="AD48" s="34" t="str">
        <x:v>這項知識本身可能正確，但屬於其他單元，不能用來證明本題答案。</x:v>
      </x:c>
      <x:c r="AE48" s="34" t="str">
        <x:v>這段資料談的是另一個主題，和目前題幹缺少直接關係。</x:v>
      </x:c>
      <x:c r="AF48" s="34" t="str">
        <x:v>回到課本地圖、時間線或表格，找出能再次驗證這個答案的資料。</x:v>
      </x:c>
      <x:c r="AG48" s="34" t="str">
        <x:v>月考卷B</x:v>
      </x:c>
      <x:c r="AH48" s="34" t="str">
        <x:v>B05_5上社會月考卷_第三~四單元_教用_.pdf</x:v>
      </x:c>
      <x:c r="AI48" s="34" t="n">
        <x:v>7</x:v>
      </x:c>
    </x:row>
    <x:row r="49" ht="76" customHeight="1">
      <x:c r="A49" s="34" t="str">
        <x:v>5A-U3</x:v>
      </x:c>
      <x:c r="B49" s="34" t="str">
        <x:v>五上</x:v>
      </x:c>
      <x:c r="C49" s="34" t="n">
        <x:v>3</x:v>
      </x:c>
      <x:c r="D49" s="34" t="str">
        <x:v>臺灣的物產資源</x:v>
      </x:c>
      <x:c r="E49" s="34" t="str">
        <x:v>5A-U3-PAPER</x:v>
      </x:c>
      <x:c r="F49" s="34" t="n">
        <x:v>15</x:v>
      </x:c>
      <x:c r="G49" s="34" t="str">
        <x:v>月考卷A</x:v>
      </x:c>
      <x:c r="H49" s="34" t="str">
        <x:v>臺灣島海岸常年有海流經過，對臺灣的自然資源帶來哪種影響？</x:v>
      </x:c>
      <x:c r="I49" s="34" t="str">
        <x:v>農夫得以種植出池上米等優質稻米</x:v>
      </x:c>
      <x:c r="J49" s="34" t="str">
        <x:v>使臺東蘊藏大量金礦</x:v>
      </x:c>
      <x:c r="K49" s="34" t="str">
        <x:v>帶來豐富的魚類資源</x:v>
      </x:c>
      <x:c r="L49" s="34" t="str">
        <x:v>形成高山為主的地形</x:v>
      </x:c>
      <x:c r="M49" s="34" t="str">
        <x:v>C</x:v>
      </x:c>
      <x:c r="N49" s="34" t="str">
        <x:v>帶來豐富的魚類資源</x:v>
      </x:c>
      <x:c r="O49" s="34" t="str">
        <x:v>找出題幹中的原因與結果，檢查兩者是否能連起來。</x:v>
      </x:c>
      <x:c r="P49" s="34" t="str">
        <x:v>判斷重點不在字數，而在內容是否符合課本；答案是「帶來豐富的魚類資源」。臺灣周邊海流交會，帶來多樣漁業資源；過度捕撈會使魚群減少，因此需要適當的取用與管理。</x:v>
      </x:c>
      <x:c r="Q49" s="34" t="str">
        <x:v>選項「農夫得以種植出池上米等優質稻米」混入了不同背景的資料。回看題幹，應選「帶來豐富的魚類資源」。臺灣周邊海流交會，帶來多樣漁業資源；過度捕撈會使魚群減少，因此需要適當的取用與管理。</x:v>
      </x:c>
      <x:c r="R49" s="34" t="str">
        <x:v>「使臺東蘊藏大量金礦」沒有符合題幹限定的條件。正確方向是「帶來豐富的魚類資源」；臺灣周邊海流交會，帶來多樣漁業資源；過度捕撈會使魚群減少，因此需要適當的取用與管理。</x:v>
      </x:c>
      <x:c r="S49" s="34" t="str">
        <x:v>沒錯，課本中的相關資料支持「帶來豐富的魚類資源」。臺灣周邊海流交會，帶來多樣漁業資源；過度捕撈會使魚群減少，因此需要適當的取用與管理。</x:v>
      </x:c>
      <x:c r="T49" s="34" t="str">
        <x:v>「形成高山為主的地形」是干擾資料，和本題線索對不上；請改從「帶來豐富的魚類資源」思考。臺灣周邊海流交會，帶來多樣漁業資源；過度捕撈會使魚群減少，因此需要適當的取用與管理。</x:v>
      </x:c>
      <x:c r="U49" s="34" t="str">
        <x:v>題幹條件配對錯誤</x:v>
      </x:c>
      <x:c r="V49" s="34" t="str">
        <x:v>題幹條件配對錯誤</x:v>
      </x:c>
      <x:c r="W49" s="34" t="str">
        <x:v>判斷正確</x:v>
      </x:c>
      <x:c r="X49" s="34" t="str">
        <x:v>題幹條件配對錯誤</x:v>
      </x:c>
      <x:c r="Y49" s="34" t="str">
        <x:v>臺灣周邊海流交會，帶來多樣漁業資源；過度捕撈會使魚群減少，因此需要適當的取用與管理。</x:v>
      </x:c>
      <x:c r="Z49" s="34" t="str">
        <x:v>荷蘭人曾以臺灣南部為據點，經營貿易、傳教並課徵稅收；熱蘭遮堡是重要據點。</x:v>
      </x:c>
      <x:c r="AA49" s="34" t="str">
        <x:v>大航海時代的航海者為臺灣留下不同稱呼；馬尼拉是菲律賓城市，並不是臺灣的舊稱。</x:v>
      </x:c>
      <x:c r="AB49" s="34" t="str">
        <x:v>A</x:v>
      </x:c>
      <x:c r="AC49" s="34" t="str">
        <x:v>這項說明能直接支持「帶來豐富的魚類資源」，也補上題目背後的課本知識。</x:v>
      </x:c>
      <x:c r="AD49" s="34" t="str">
        <x:v>這項知識本身可能正確，但屬於其他單元，不能用來證明本題答案。</x:v>
      </x:c>
      <x:c r="AE49" s="34" t="str">
        <x:v>這段資料談的是另一個主題，和目前題幹缺少直接關係。</x:v>
      </x:c>
      <x:c r="AF49" s="34" t="str">
        <x:v>回到課本地圖、時間線或表格，找出能再次驗證這個答案的資料。</x:v>
      </x:c>
      <x:c r="AG49" s="34" t="str">
        <x:v>月考卷A</x:v>
      </x:c>
      <x:c r="AH49" s="34" t="str">
        <x:v>A05_5上社會月考卷_第三~四單元_教用_.pdf</x:v>
      </x:c>
      <x:c r="AI49" s="34" t="n">
        <x:v>6</x:v>
      </x:c>
    </x:row>
    <x:row r="50" ht="76" customHeight="1">
      <x:c r="A50" s="35" t="str">
        <x:v>5A-U4</x:v>
      </x:c>
      <x:c r="B50" s="35" t="str">
        <x:v>五上</x:v>
      </x:c>
      <x:c r="C50" s="35" t="n">
        <x:v>4</x:v>
      </x:c>
      <x:c r="D50" s="35" t="str">
        <x:v>看見福爾摩沙</x:v>
      </x:c>
      <x:c r="E50" s="35" t="str">
        <x:v>5A-U4-PAPER</x:v>
      </x:c>
      <x:c r="F50" s="35" t="n">
        <x:v>1</x:v>
      </x:c>
      <x:c r="G50" s="35" t="str">
        <x:v>隨堂卷</x:v>
      </x:c>
      <x:c r="H50" s="35" t="str">
        <x:v>鄭經接受下列哪一位人物的建議，積極在臺灣推展文化與教育事業？</x:v>
      </x:c>
      <x:c r="I50" s="35" t="str">
        <x:v>鄭成功</x:v>
      </x:c>
      <x:c r="J50" s="35" t="str">
        <x:v>陳永華</x:v>
      </x:c>
      <x:c r="K50" s="35" t="str">
        <x:v>鄭克塽</x:v>
      </x:c>
      <x:c r="L50" s="35" t="str">
        <x:v>施琅</x:v>
      </x:c>
      <x:c r="M50" s="35" t="str">
        <x:v>B</x:v>
      </x:c>
      <x:c r="N50" s="35" t="str">
        <x:v>陳永華</x:v>
      </x:c>
      <x:c r="O50" s="35" t="str">
        <x:v>把人物和他參與的事件、政策或地點配對。</x:v>
      </x:c>
      <x:c r="P50" s="35" t="str">
        <x:v>關鍵答案是「陳永華」。鄭成功驅逐荷蘭人後建立鄭氏政權；鄭經與陳永華推動屯墾、教育等措施，鄭芝龍則較早經營海上勢力。</x:v>
      </x:c>
      <x:c r="Q50" s="35" t="str">
        <x:v>「鄭成功」沒有符合題幹限定的條件。正確方向是「陳永華」；鄭成功驅逐荷蘭人後建立鄭氏政權；鄭經與陳永華推動屯墾、教育等措施，鄭芝龍則較早經營海上勢力。</x:v>
      </x:c>
      <x:c r="R50" s="35" t="str">
        <x:v>答對了，「陳永華」和題幹線索相符。鄭成功驅逐荷蘭人後建立鄭氏政權；鄭經與陳永華推動屯墾、教育等措施，鄭芝龍則較早經營海上勢力。</x:v>
      </x:c>
      <x:c r="S50" s="35" t="str">
        <x:v>「鄭克塽」是干擾資料，和本題線索對不上；請改從「陳永華」思考。鄭成功驅逐荷蘭人後建立鄭氏政權；鄭經與陳永華推動屯墾、教育等措施，鄭芝龍則較早經營海上勢力。</x:v>
      </x:c>
      <x:c r="T50" s="35" t="str">
        <x:v>這題不是在找「施琅」。對照課本後，「陳永華」才符合題意。鄭成功驅逐荷蘭人後建立鄭氏政權；鄭經與陳永華推動屯墾、教育等措施，鄭芝龍則較早經營海上勢力。</x:v>
      </x:c>
      <x:c r="U50" s="35" t="str">
        <x:v>題幹條件配對錯誤</x:v>
      </x:c>
      <x:c r="V50" s="35" t="str">
        <x:v>判斷正確</x:v>
      </x:c>
      <x:c r="W50" s="35" t="str">
        <x:v>題幹條件配對錯誤</x:v>
      </x:c>
      <x:c r="X50" s="35" t="str">
        <x:v>題幹條件配對錯誤</x:v>
      </x:c>
      <x:c r="Y50" s="35" t="str">
        <x:v>鄭成功驅逐荷蘭人後建立鄭氏政權；鄭經與陳永華推動屯墾、教育等措施，鄭芝龍則較早經營海上勢力。</x:v>
      </x:c>
      <x:c r="Z50" s="35" t="str">
        <x:v>這題要從清代移民、開墾、族群互動與地方生活的背景判斷。</x:v>
      </x:c>
      <x:c r="AA50" s="35" t="str">
        <x:v>朱一貴事件是清代臺灣的重要民變，反映當時治理與社會矛盾。</x:v>
      </x:c>
      <x:c r="AB50" s="35" t="str">
        <x:v>A</x:v>
      </x:c>
      <x:c r="AC50" s="35" t="str">
        <x:v>這項說明能直接支持「陳永華」，也補上題目背後的課本知識。</x:v>
      </x:c>
      <x:c r="AD50" s="35" t="str">
        <x:v>這項知識本身可能正確，但屬於其他單元，不能用來證明本題答案。</x:v>
      </x:c>
      <x:c r="AE50" s="35" t="str">
        <x:v>這段資料談的是另一個主題，和目前題幹缺少直接關係。</x:v>
      </x:c>
      <x:c r="AF50" s="35" t="str">
        <x:v>回到課本地圖、時間線或表格，找出能再次驗證這個答案的資料。</x:v>
      </x:c>
      <x:c r="AG50" s="35" t="str">
        <x:v>隨堂卷</x:v>
      </x:c>
      <x:c r="AH50" s="35" t="str">
        <x:v>04_5上社會隨堂卷_第四單元看見福爾摩沙_教用_.pdf</x:v>
      </x:c>
      <x:c r="AI50" s="35" t="n">
        <x:v>1</x:v>
      </x:c>
    </x:row>
    <x:row r="51" ht="76" customHeight="1">
      <x:c r="A51" s="35" t="str">
        <x:v>5A-U4</x:v>
      </x:c>
      <x:c r="B51" s="35" t="str">
        <x:v>五上</x:v>
      </x:c>
      <x:c r="C51" s="35" t="n">
        <x:v>4</x:v>
      </x:c>
      <x:c r="D51" s="35" t="str">
        <x:v>看見福爾摩沙</x:v>
      </x:c>
      <x:c r="E51" s="35" t="str">
        <x:v>5A-U4-PAPER</x:v>
      </x:c>
      <x:c r="F51" s="35" t="n">
        <x:v>2</x:v>
      </x:c>
      <x:c r="G51" s="35" t="str">
        <x:v>月考卷A</x:v>
      </x:c>
      <x:c r="H51" s="35" t="str">
        <x:v>下列哪一項是荷蘭人治臺時，從東南亞進口的物產之一？</x:v>
      </x:c>
      <x:c r="I51" s="35" t="str">
        <x:v>蔗糖</x:v>
      </x:c>
      <x:c r="J51" s="35" t="str">
        <x:v>香料</x:v>
      </x:c>
      <x:c r="K51" s="35" t="str">
        <x:v>鹿皮</x:v>
      </x:c>
      <x:c r="L51" s="35" t="str">
        <x:v>樟腦</x:v>
      </x:c>
      <x:c r="M51" s="35" t="str">
        <x:v>B</x:v>
      </x:c>
      <x:c r="N51" s="35" t="str">
        <x:v>香料</x:v>
      </x:c>
      <x:c r="O51" s="35" t="str">
        <x:v>抓住題幹的關鍵詞，再比較每個選項和課本內容是否相符。</x:v>
      </x:c>
      <x:c r="P51" s="35" t="str">
        <x:v>依課本內容，這題應選「香料」。荷蘭人曾以臺灣南部為據點，經營貿易、傳教並課徵稅收；熱蘭遮堡是重要據點。</x:v>
      </x:c>
      <x:c r="Q51" s="35" t="str">
        <x:v>先不要選「蔗糖」。把人物、地點或概念重新配對後，應是「香料」。荷蘭人曾以臺灣南部為據點，經營貿易、傳教並課徵稅收；熱蘭遮堡是重要據點。</x:v>
      </x:c>
      <x:c r="R51" s="35" t="str">
        <x:v>判斷正確！你找到了「香料」這個關鍵。荷蘭人曾以臺灣南部為據點，經營貿易、傳教並課徵稅收；熱蘭遮堡是重要據點。</x:v>
      </x:c>
      <x:c r="S51" s="35" t="str">
        <x:v>這題不是在找「鹿皮」。對照課本後，「香料」才符合題意。荷蘭人曾以臺灣南部為據點，經營貿易、傳教並課徵稅收；熱蘭遮堡是重要據點。</x:v>
      </x:c>
      <x:c r="T51" s="35" t="str">
        <x:v>選項「樟腦」混入了不同背景的資料。回看題幹，應選「香料」。荷蘭人曾以臺灣南部為據點，經營貿易、傳教並課徵稅收；熱蘭遮堡是重要據點。</x:v>
      </x:c>
      <x:c r="U51" s="35" t="str">
        <x:v>題幹條件配對錯誤</x:v>
      </x:c>
      <x:c r="V51" s="35" t="str">
        <x:v>判斷正確</x:v>
      </x:c>
      <x:c r="W51" s="35" t="str">
        <x:v>題幹條件配對錯誤</x:v>
      </x:c>
      <x:c r="X51" s="35" t="str">
        <x:v>題幹條件配對錯誤</x:v>
      </x:c>
      <x:c r="Y51" s="35" t="str">
        <x:v>荷蘭人曾以臺灣南部為據點，經營貿易、傳教並課徵稅收；熱蘭遮堡是重要據點。</x:v>
      </x:c>
      <x:c r="Z51" s="35" t="str">
        <x:v>劉銘傳是臺灣建省後的首任巡撫，推動鐵路、電報等建設；清法戰爭期間也加強淡水防務。</x:v>
      </x:c>
      <x:c r="AA51" s="35" t="str">
        <x:v>1860 年代臺灣開港通商後，外商設立洋行，外國也設領事館處理外交事務，臺灣更深地進入國際貿易。</x:v>
      </x:c>
      <x:c r="AB51" s="35" t="str">
        <x:v>A</x:v>
      </x:c>
      <x:c r="AC51" s="35" t="str">
        <x:v>這項說明能直接支持「香料」，也補上題目背後的課本知識。</x:v>
      </x:c>
      <x:c r="AD51" s="35" t="str">
        <x:v>這項知識本身可能正確，但屬於其他單元，不能用來證明本題答案。</x:v>
      </x:c>
      <x:c r="AE51" s="35" t="str">
        <x:v>這段資料談的是另一個主題，和目前題幹缺少直接關係。</x:v>
      </x:c>
      <x:c r="AF51" s="35" t="str">
        <x:v>回到課本地圖、時間線或表格，找出能再次驗證這個答案的資料。</x:v>
      </x:c>
      <x:c r="AG51" s="35" t="str">
        <x:v>月考卷A</x:v>
      </x:c>
      <x:c r="AH51" s="35" t="str">
        <x:v>A03_5上社會月考卷_第四單元_教用_.pdf</x:v>
      </x:c>
      <x:c r="AI51" s="35" t="n">
        <x:v>1</x:v>
      </x:c>
    </x:row>
    <x:row r="52" ht="76" customHeight="1">
      <x:c r="A52" s="35" t="str">
        <x:v>5A-U4</x:v>
      </x:c>
      <x:c r="B52" s="35" t="str">
        <x:v>五上</x:v>
      </x:c>
      <x:c r="C52" s="35" t="n">
        <x:v>4</x:v>
      </x:c>
      <x:c r="D52" s="35" t="str">
        <x:v>看見福爾摩沙</x:v>
      </x:c>
      <x:c r="E52" s="35" t="str">
        <x:v>5A-U4-PAPER</x:v>
      </x:c>
      <x:c r="F52" s="35" t="n">
        <x:v>3</x:v>
      </x:c>
      <x:c r="G52" s="35" t="str">
        <x:v>月考卷B</x:v>
      </x:c>
      <x:c r="H52" s="35" t="str">
        <x:v>十五世紀時，哪個地區的人們為了尋找香料、絲綢及瓷器等，發現到亞洲的新航路，而開啟大航海時期？</x:v>
      </x:c>
      <x:c r="I52" s="35" t="str">
        <x:v>美洲</x:v>
      </x:c>
      <x:c r="J52" s="35" t="str">
        <x:v>歐洲</x:v>
      </x:c>
      <x:c r="K52" s="35" t="str">
        <x:v>非洲</x:v>
      </x:c>
      <x:c r="L52" s="35" t="str">
        <x:v>大洋洲</x:v>
      </x:c>
      <x:c r="M52" s="35" t="str">
        <x:v>B</x:v>
      </x:c>
      <x:c r="N52" s="35" t="str">
        <x:v>歐洲</x:v>
      </x:c>
      <x:c r="O52" s="35" t="str">
        <x:v>先找題幹的方向或地點線索，再和課本地圖對照。</x:v>
      </x:c>
      <x:c r="P52" s="35" t="str">
        <x:v>把題幹線索和課本資料對照，可找到「歐洲」。大航海時代的航海者為臺灣留下不同稱呼；馬尼拉是菲律賓城市，並不是臺灣的舊稱。</x:v>
      </x:c>
      <x:c r="Q52" s="35" t="str">
        <x:v>「美洲」是干擾資料，和本題線索對不上；請改從「歐洲」思考。大航海時代的航海者為臺灣留下不同稱呼；馬尼拉是菲律賓城市，並不是臺灣的舊稱。</x:v>
      </x:c>
      <x:c r="R52" s="35" t="str">
        <x:v>沒錯，課本中的相關資料支持「歐洲」。大航海時代的航海者為臺灣留下不同稱呼；馬尼拉是菲律賓城市，並不是臺灣的舊稱。</x:v>
      </x:c>
      <x:c r="S52" s="35" t="str">
        <x:v>選項「非洲」混入了不同背景的資料。回看題幹，應選「歐洲」。大航海時代的航海者為臺灣留下不同稱呼；馬尼拉是菲律賓城市，並不是臺灣的舊稱。</x:v>
      </x:c>
      <x:c r="T52" s="35" t="str">
        <x:v>「大洋洲」沒有符合題幹限定的條件。正確方向是「歐洲」；大航海時代的航海者為臺灣留下不同稱呼；馬尼拉是菲律賓城市，並不是臺灣的舊稱。</x:v>
      </x:c>
      <x:c r="U52" s="35" t="str">
        <x:v>題幹條件配對錯誤</x:v>
      </x:c>
      <x:c r="V52" s="35" t="str">
        <x:v>判斷正確</x:v>
      </x:c>
      <x:c r="W52" s="35" t="str">
        <x:v>題幹條件配對錯誤</x:v>
      </x:c>
      <x:c r="X52" s="35" t="str">
        <x:v>題幹條件配對錯誤</x:v>
      </x:c>
      <x:c r="Y52" s="35" t="str">
        <x:v>大航海時代的航海者為臺灣留下不同稱呼；馬尼拉是菲律賓城市，並不是臺灣的舊稱。</x:v>
      </x:c>
      <x:c r="Z52" s="35" t="str">
        <x:v>巴克禮在臺南從事傳教與教育，使用羅馬字推廣閱讀，並發行《臺灣府城教會報》。</x:v>
      </x:c>
      <x:c r="AA52" s="35" t="str">
        <x:v>開港後茶葉等商品從北部輸出，帶動大稻埕與北部港市發展，也使經濟重心逐漸北移。</x:v>
      </x:c>
      <x:c r="AB52" s="35" t="str">
        <x:v>A</x:v>
      </x:c>
      <x:c r="AC52" s="35" t="str">
        <x:v>這項說明能直接支持「歐洲」，也補上題目背後的課本知識。</x:v>
      </x:c>
      <x:c r="AD52" s="35" t="str">
        <x:v>這項知識本身可能正確，但屬於其他單元，不能用來證明本題答案。</x:v>
      </x:c>
      <x:c r="AE52" s="35" t="str">
        <x:v>這段資料談的是另一個主題，和目前題幹缺少直接關係。</x:v>
      </x:c>
      <x:c r="AF52" s="35" t="str">
        <x:v>回到課本地圖、時間線或表格，找出能再次驗證這個答案的資料。</x:v>
      </x:c>
      <x:c r="AG52" s="35" t="str">
        <x:v>月考卷B</x:v>
      </x:c>
      <x:c r="AH52" s="35" t="str">
        <x:v>B03_5上社會月考卷_第四單元_教用_.pdf</x:v>
      </x:c>
      <x:c r="AI52" s="35" t="n">
        <x:v>1</x:v>
      </x:c>
    </x:row>
    <x:row r="53" ht="76" customHeight="1">
      <x:c r="A53" s="35" t="str">
        <x:v>5A-U4</x:v>
      </x:c>
      <x:c r="B53" s="35" t="str">
        <x:v>五上</x:v>
      </x:c>
      <x:c r="C53" s="35" t="n">
        <x:v>4</x:v>
      </x:c>
      <x:c r="D53" s="35" t="str">
        <x:v>看見福爾摩沙</x:v>
      </x:c>
      <x:c r="E53" s="35" t="str">
        <x:v>5A-U4-PAPER</x:v>
      </x:c>
      <x:c r="F53" s="35" t="n">
        <x:v>4</x:v>
      </x:c>
      <x:c r="G53" s="35" t="str">
        <x:v>隨堂卷</x:v>
      </x:c>
      <x:c r="H53" s="35" t="str">
        <x:v>有關鄭氏政權國際貿易的敘述，下列哪一項正確？</x:v>
      </x:c>
      <x:c r="I53" s="35" t="str">
        <x:v>交易對象主要是美國商人</x:v>
      </x:c>
      <x:c r="J53" s="35" t="str">
        <x:v>從中國進口民生用品</x:v>
      </x:c>
      <x:c r="K53" s="35" t="str">
        <x:v>輸出民生用品至馬尼拉</x:v>
      </x:c>
      <x:c r="L53" s="35" t="str">
        <x:v>從日本輸入鹿皮</x:v>
      </x:c>
      <x:c r="M53" s="35" t="str">
        <x:v>B</x:v>
      </x:c>
      <x:c r="N53" s="35" t="str">
        <x:v>從中國進口民生用品</x:v>
      </x:c>
      <x:c r="O53" s="35" t="str">
        <x:v>抓住題幹的關鍵詞，再比較每個選項和課本內容是否相符。</x:v>
      </x:c>
      <x:c r="P53" s="35" t="str">
        <x:v>「從中國進口民生用品」最符合題目所問的時間、地點或概念。大航海時代的航海者為臺灣留下不同稱呼；馬尼拉是菲律賓城市，並不是臺灣的舊稱。</x:v>
      </x:c>
      <x:c r="Q53" s="35" t="str">
        <x:v>這題不是在找「交易對象主要是美國商人」。對照課本後，「從中國進口民生用品」才符合題意。大航海時代的航海者為臺灣留下不同稱呼；馬尼拉是菲律賓城市，並不是臺灣的舊稱。</x:v>
      </x:c>
      <x:c r="R53" s="35" t="str">
        <x:v>這項選擇成立；「從中國進口民生用品」符合題目要求。大航海時代的航海者為臺灣留下不同稱呼；馬尼拉是菲律賓城市，並不是臺灣的舊稱。</x:v>
      </x:c>
      <x:c r="S53" s="35" t="str">
        <x:v>「輸出民生用品至馬尼拉」沒有符合題幹限定的條件。正確方向是「從中國進口民生用品」；大航海時代的航海者為臺灣留下不同稱呼；馬尼拉是菲律賓城市，並不是臺灣的舊稱。</x:v>
      </x:c>
      <x:c r="T53" s="35" t="str">
        <x:v>先不要選「從日本輸入鹿皮」。把人物、地點或概念重新配對後，應是「從中國進口民生用品」。大航海時代的航海者為臺灣留下不同稱呼；馬尼拉是菲律賓城市，並不是臺灣的舊稱。</x:v>
      </x:c>
      <x:c r="U53" s="35" t="str">
        <x:v>題幹條件配對錯誤</x:v>
      </x:c>
      <x:c r="V53" s="35" t="str">
        <x:v>判斷正確</x:v>
      </x:c>
      <x:c r="W53" s="35" t="str">
        <x:v>題幹條件配對錯誤</x:v>
      </x:c>
      <x:c r="X53" s="35" t="str">
        <x:v>題幹條件配對錯誤</x:v>
      </x:c>
      <x:c r="Y53" s="35" t="str">
        <x:v>大航海時代的航海者為臺灣留下不同稱呼；馬尼拉是菲律賓城市，並不是臺灣的舊稱。</x:v>
      </x:c>
      <x:c r="Z53" s="35" t="str">
        <x:v>火力發電依靠煤、石油或天然氣等燃料，不屬於再生能源；再生能源則可在自然循環中持續補充。</x:v>
      </x:c>
      <x:c r="AA53" s="35" t="str">
        <x:v>水力發電利用水流，但會受降雨與水量影響，興建設施也可能改變河川環境。</x:v>
      </x:c>
      <x:c r="AB53" s="35" t="str">
        <x:v>A</x:v>
      </x:c>
      <x:c r="AC53" s="35" t="str">
        <x:v>這項說明能直接支持「從中國進口民生用品」，也補上題目背後的課本知識。</x:v>
      </x:c>
      <x:c r="AD53" s="35" t="str">
        <x:v>這項知識本身可能正確，但屬於其他單元，不能用來證明本題答案。</x:v>
      </x:c>
      <x:c r="AE53" s="35" t="str">
        <x:v>這段資料談的是另一個主題，和目前題幹缺少直接關係。</x:v>
      </x:c>
      <x:c r="AF53" s="35" t="str">
        <x:v>回到課本地圖、時間線或表格，找出能再次驗證這個答案的資料。</x:v>
      </x:c>
      <x:c r="AG53" s="35" t="str">
        <x:v>隨堂卷</x:v>
      </x:c>
      <x:c r="AH53" s="35" t="str">
        <x:v>04_5上社會隨堂卷_第四單元看見福爾摩沙_教用_.pdf</x:v>
      </x:c>
      <x:c r="AI53" s="35" t="n">
        <x:v>2</x:v>
      </x:c>
    </x:row>
    <x:row r="54" ht="76" customHeight="1">
      <x:c r="A54" s="35" t="str">
        <x:v>5A-U4</x:v>
      </x:c>
      <x:c r="B54" s="35" t="str">
        <x:v>五上</x:v>
      </x:c>
      <x:c r="C54" s="35" t="n">
        <x:v>4</x:v>
      </x:c>
      <x:c r="D54" s="35" t="str">
        <x:v>看見福爾摩沙</x:v>
      </x:c>
      <x:c r="E54" s="35" t="str">
        <x:v>5A-U4-PAPER</x:v>
      </x:c>
      <x:c r="F54" s="35" t="n">
        <x:v>5</x:v>
      </x:c>
      <x:c r="G54" s="35" t="str">
        <x:v>月考卷A</x:v>
      </x:c>
      <x:c r="H54" s="35" t="str">
        <x:v>荷蘭人統治時期，漢人經常發起反抗行動的主要原因是下列哪一個？</x:v>
      </x:c>
      <x:c r="I54" s="35" t="str">
        <x:v>漢人被課徵重稅</x:v>
      </x:c>
      <x:c r="J54" s="35" t="str">
        <x:v>荷蘭人強迫漢人與原住民族通婚</x:v>
      </x:c>
      <x:c r="K54" s="35" t="str">
        <x:v>漢人被迫改信基督教</x:v>
      </x:c>
      <x:c r="L54" s="35" t="str">
        <x:v>荷蘭人強迫漢人移民到歐洲</x:v>
      </x:c>
      <x:c r="M54" s="35" t="str">
        <x:v>A</x:v>
      </x:c>
      <x:c r="N54" s="35" t="str">
        <x:v>漢人被課徵重稅</x:v>
      </x:c>
      <x:c r="O54" s="35" t="str">
        <x:v>找出題幹中的原因與結果，檢查兩者是否能連起來。</x:v>
      </x:c>
      <x:c r="P54" s="35" t="str">
        <x:v>判斷重點不在字數，而在內容是否符合課本；答案是「漢人被課徵重稅」。荷蘭人曾以臺灣南部為據點，經營貿易、傳教並課徵稅收；熱蘭遮堡是重要據點。</x:v>
      </x:c>
      <x:c r="Q54" s="35" t="str">
        <x:v>答對了，「漢人被課徵重稅」和題幹線索相符。荷蘭人曾以臺灣南部為據點，經營貿易、傳教並課徵稅收；熱蘭遮堡是重要據點。</x:v>
      </x:c>
      <x:c r="R54" s="35" t="str">
        <x:v>「荷蘭人強迫漢人與原住民族通婚」沒有符合題幹限定的條件。正確方向是「漢人被課徵重稅」；荷蘭人曾以臺灣南部為據點，經營貿易、傳教並課徵稅收；熱蘭遮堡是重要據點。</x:v>
      </x:c>
      <x:c r="S54" s="35" t="str">
        <x:v>先不要選「漢人被迫改信基督教」。把人物、地點或概念重新配對後，應是「漢人被課徵重稅」。荷蘭人曾以臺灣南部為據點，經營貿易、傳教並課徵稅收；熱蘭遮堡是重要據點。</x:v>
      </x:c>
      <x:c r="T54" s="35" t="str">
        <x:v>「荷蘭人強迫漢人移民到歐洲」是干擾資料，和本題線索對不上；請改從「漢人被課徵重稅」思考。荷蘭人曾以臺灣南部為據點，經營貿易、傳教並課徵稅收；熱蘭遮堡是重要據點。</x:v>
      </x:c>
      <x:c r="U54" s="35" t="str">
        <x:v>判斷正確</x:v>
      </x:c>
      <x:c r="V54" s="35" t="str">
        <x:v>題幹條件配對錯誤</x:v>
      </x:c>
      <x:c r="W54" s="35" t="str">
        <x:v>題幹條件配對錯誤</x:v>
      </x:c>
      <x:c r="X54" s="35" t="str">
        <x:v>題幹條件配對錯誤</x:v>
      </x:c>
      <x:c r="Y54" s="35" t="str">
        <x:v>荷蘭人曾以臺灣南部為據點，經營貿易、傳教並課徵稅收；熱蘭遮堡是重要據點。</x:v>
      </x:c>
      <x:c r="Z54" s="35" t="str">
        <x:v>太陽能發電在日照充足時較有效率，陰雨或夜間供電會下降，因此需要搭配儲能或其他電源。</x:v>
      </x:c>
      <x:c r="AA54" s="35" t="str">
        <x:v>臺灣位於板塊交界，地底熱能豐富，具有發展地熱發電的條件，但探勘與建置成本較高。</x:v>
      </x:c>
      <x:c r="AB54" s="35" t="str">
        <x:v>A</x:v>
      </x:c>
      <x:c r="AC54" s="35" t="str">
        <x:v>這項說明能直接支持「漢人被課徵重稅」，也補上題目背後的課本知識。</x:v>
      </x:c>
      <x:c r="AD54" s="35" t="str">
        <x:v>這項知識本身可能正確，但屬於其他單元，不能用來證明本題答案。</x:v>
      </x:c>
      <x:c r="AE54" s="35" t="str">
        <x:v>這段資料談的是另一個主題，和目前題幹缺少直接關係。</x:v>
      </x:c>
      <x:c r="AF54" s="35" t="str">
        <x:v>回到課本地圖、時間線或表格，找出能再次驗證這個答案的資料。</x:v>
      </x:c>
      <x:c r="AG54" s="35" t="str">
        <x:v>月考卷A</x:v>
      </x:c>
      <x:c r="AH54" s="35" t="str">
        <x:v>A03_5上社會月考卷_第四單元_教用_.pdf</x:v>
      </x:c>
      <x:c r="AI54" s="35" t="n">
        <x:v>2</x:v>
      </x:c>
    </x:row>
    <x:row r="55" ht="76" customHeight="1">
      <x:c r="A55" s="35" t="str">
        <x:v>5A-U4</x:v>
      </x:c>
      <x:c r="B55" s="35" t="str">
        <x:v>五上</x:v>
      </x:c>
      <x:c r="C55" s="35" t="n">
        <x:v>4</x:v>
      </x:c>
      <x:c r="D55" s="35" t="str">
        <x:v>看見福爾摩沙</x:v>
      </x:c>
      <x:c r="E55" s="35" t="str">
        <x:v>5A-U4-PAPER</x:v>
      </x:c>
      <x:c r="F55" s="35" t="n">
        <x:v>6</x:v>
      </x:c>
      <x:c r="G55" s="35" t="str">
        <x:v>月考卷B</x:v>
      </x:c>
      <x:c r="H55" s="35" t="str">
        <x:v>荷蘭人統治臺灣期間，為了解決糧食問題，引進下列哪一項協助耕作？</x:v>
      </x:c>
      <x:c r="I55" s="35" t="str">
        <x:v>農藥</x:v>
      </x:c>
      <x:c r="J55" s="35" t="str">
        <x:v>耕牛</x:v>
      </x:c>
      <x:c r="K55" s="35" t="str">
        <x:v>肥料</x:v>
      </x:c>
      <x:c r="L55" s="35" t="str">
        <x:v>農耕機</x:v>
      </x:c>
      <x:c r="M55" s="35" t="str">
        <x:v>B</x:v>
      </x:c>
      <x:c r="N55" s="35" t="str">
        <x:v>耕牛</x:v>
      </x:c>
      <x:c r="O55" s="35" t="str">
        <x:v>抓住題幹的關鍵詞，再比較每個選項和課本內容是否相符。</x:v>
      </x:c>
      <x:c r="P55" s="35" t="str">
        <x:v>關鍵答案是「耕牛」。荷蘭人曾以臺灣南部為據點，經營貿易、傳教並課徵稅收；熱蘭遮堡是重要據點。</x:v>
      </x:c>
      <x:c r="Q55" s="35" t="str">
        <x:v>「農藥」沒有符合題幹限定的條件。正確方向是「耕牛」；荷蘭人曾以臺灣南部為據點，經營貿易、傳教並課徵稅收；熱蘭遮堡是重要據點。</x:v>
      </x:c>
      <x:c r="R55" s="35" t="str">
        <x:v>判斷正確！你找到了「耕牛」這個關鍵。荷蘭人曾以臺灣南部為據點，經營貿易、傳教並課徵稅收；熱蘭遮堡是重要據點。</x:v>
      </x:c>
      <x:c r="S55" s="35" t="str">
        <x:v>「肥料」是干擾資料，和本題線索對不上；請改從「耕牛」思考。荷蘭人曾以臺灣南部為據點，經營貿易、傳教並課徵稅收；熱蘭遮堡是重要據點。</x:v>
      </x:c>
      <x:c r="T55" s="35" t="str">
        <x:v>這題不是在找「農耕機」。對照課本後，「耕牛」才符合題意。荷蘭人曾以臺灣南部為據點，經營貿易、傳教並課徵稅收；熱蘭遮堡是重要據點。</x:v>
      </x:c>
      <x:c r="U55" s="35" t="str">
        <x:v>題幹條件配對錯誤</x:v>
      </x:c>
      <x:c r="V55" s="35" t="str">
        <x:v>判斷正確</x:v>
      </x:c>
      <x:c r="W55" s="35" t="str">
        <x:v>題幹條件配對錯誤</x:v>
      </x:c>
      <x:c r="X55" s="35" t="str">
        <x:v>題幹條件配對錯誤</x:v>
      </x:c>
      <x:c r="Y55" s="35" t="str">
        <x:v>荷蘭人曾以臺灣南部為據點，經營貿易、傳教並課徵稅收；熱蘭遮堡是重要據點。</x:v>
      </x:c>
      <x:c r="Z55" s="35" t="str">
        <x:v>遇到瑕疵商品可保留交易證明、向業者反映，並依消費者保護法或撥打 1950 尋求協助。</x:v>
      </x:c>
      <x:c r="AA55" s="35" t="str">
        <x:v>投資報酬並不保證，風險是結果可能獲利也可能虧損；選擇前要評估自己能承受的損失。</x:v>
      </x:c>
      <x:c r="AB55" s="35" t="str">
        <x:v>A</x:v>
      </x:c>
      <x:c r="AC55" s="35" t="str">
        <x:v>這項說明能直接支持「耕牛」，也補上題目背後的課本知識。</x:v>
      </x:c>
      <x:c r="AD55" s="35" t="str">
        <x:v>這項知識本身可能正確，但屬於其他單元，不能用來證明本題答案。</x:v>
      </x:c>
      <x:c r="AE55" s="35" t="str">
        <x:v>這段資料談的是另一個主題，和目前題幹缺少直接關係。</x:v>
      </x:c>
      <x:c r="AF55" s="35" t="str">
        <x:v>回到課本地圖、時間線或表格，找出能再次驗證這個答案的資料。</x:v>
      </x:c>
      <x:c r="AG55" s="35" t="str">
        <x:v>月考卷B</x:v>
      </x:c>
      <x:c r="AH55" s="35" t="str">
        <x:v>B03_5上社會月考卷_第四單元_教用_.pdf</x:v>
      </x:c>
      <x:c r="AI55" s="35" t="n">
        <x:v>3</x:v>
      </x:c>
    </x:row>
    <x:row r="56" ht="76" customHeight="1">
      <x:c r="A56" s="35" t="str">
        <x:v>5A-U4</x:v>
      </x:c>
      <x:c r="B56" s="35" t="str">
        <x:v>五上</x:v>
      </x:c>
      <x:c r="C56" s="35" t="n">
        <x:v>4</x:v>
      </x:c>
      <x:c r="D56" s="35" t="str">
        <x:v>看見福爾摩沙</x:v>
      </x:c>
      <x:c r="E56" s="35" t="str">
        <x:v>5A-U4-PAPER</x:v>
      </x:c>
      <x:c r="F56" s="35" t="n">
        <x:v>7</x:v>
      </x:c>
      <x:c r="G56" s="35" t="str">
        <x:v>隨堂卷</x:v>
      </x:c>
      <x:c r="H56" s="35" t="str">
        <x:v>十七世紀時，下列哪一位人物除了經營海上貿易，也曾招募漢人來臺開墾、建立聚落，但從未正式治理過臺灣？</x:v>
      </x:c>
      <x:c r="I56" s="35" t="str">
        <x:v>鄭經</x:v>
      </x:c>
      <x:c r="J56" s="35" t="str">
        <x:v>郭懷一</x:v>
      </x:c>
      <x:c r="K56" s="35" t="str">
        <x:v>鄭芝龍</x:v>
      </x:c>
      <x:c r="L56" s="35" t="str">
        <x:v>陳永華</x:v>
      </x:c>
      <x:c r="M56" s="35" t="str">
        <x:v>C</x:v>
      </x:c>
      <x:c r="N56" s="35" t="str">
        <x:v>鄭芝龍</x:v>
      </x:c>
      <x:c r="O56" s="35" t="str">
        <x:v>把人物和他參與的事件、政策或地點配對。</x:v>
      </x:c>
      <x:c r="P56" s="35" t="str">
        <x:v>依課本內容，這題應選「鄭芝龍」。鄭成功驅逐荷蘭人後建立鄭氏政權；鄭經與陳永華推動屯墾、教育等措施，鄭芝龍則較早經營海上勢力。</x:v>
      </x:c>
      <x:c r="Q56" s="35" t="str">
        <x:v>先不要選「鄭經」。把人物、地點或概念重新配對後，應是「鄭芝龍」。鄭成功驅逐荷蘭人後建立鄭氏政權；鄭經與陳永華推動屯墾、教育等措施，鄭芝龍則較早經營海上勢力。</x:v>
      </x:c>
      <x:c r="R56" s="35" t="str">
        <x:v>「郭懷一」是干擾資料，和本題線索對不上；請改從「鄭芝龍」思考。鄭成功驅逐荷蘭人後建立鄭氏政權；鄭經與陳永華推動屯墾、教育等措施，鄭芝龍則較早經營海上勢力。</x:v>
      </x:c>
      <x:c r="S56" s="35" t="str">
        <x:v>沒錯，課本中的相關資料支持「鄭芝龍」。鄭成功驅逐荷蘭人後建立鄭氏政權；鄭經與陳永華推動屯墾、教育等措施，鄭芝龍則較早經營海上勢力。</x:v>
      </x:c>
      <x:c r="T56" s="35" t="str">
        <x:v>選項「陳永華」混入了不同背景的資料。回看題幹，應選「鄭芝龍」。鄭成功驅逐荷蘭人後建立鄭氏政權；鄭經與陳永華推動屯墾、教育等措施，鄭芝龍則較早經營海上勢力。</x:v>
      </x:c>
      <x:c r="U56" s="35" t="str">
        <x:v>題幹條件配對錯誤</x:v>
      </x:c>
      <x:c r="V56" s="35" t="str">
        <x:v>題幹條件配對錯誤</x:v>
      </x:c>
      <x:c r="W56" s="35" t="str">
        <x:v>判斷正確</x:v>
      </x:c>
      <x:c r="X56" s="35" t="str">
        <x:v>題幹條件配對錯誤</x:v>
      </x:c>
      <x:c r="Y56" s="35" t="str">
        <x:v>鄭成功驅逐荷蘭人後建立鄭氏政權；鄭經與陳永華推動屯墾、教育等措施，鄭芝龍則較早經營海上勢力。</x:v>
      </x:c>
      <x:c r="Z56" s="35" t="str">
        <x:v>遇到瑕疵商品可保留交易證明、向業者反映，並依消費者保護法或撥打 1950 尋求協助。</x:v>
      </x:c>
      <x:c r="AA56" s="35" t="str">
        <x:v>消費會受到需求、價格、品質、廣告與同儕流行等因素影響，仍應先判斷是否真正需要。</x:v>
      </x:c>
      <x:c r="AB56" s="35" t="str">
        <x:v>A</x:v>
      </x:c>
      <x:c r="AC56" s="35" t="str">
        <x:v>這項說明能直接支持「鄭芝龍」，也補上題目背後的課本知識。</x:v>
      </x:c>
      <x:c r="AD56" s="35" t="str">
        <x:v>這項知識本身可能正確，但屬於其他單元，不能用來證明本題答案。</x:v>
      </x:c>
      <x:c r="AE56" s="35" t="str">
        <x:v>這段資料談的是另一個主題，和目前題幹缺少直接關係。</x:v>
      </x:c>
      <x:c r="AF56" s="35" t="str">
        <x:v>回到課本地圖、時間線或表格，找出能再次驗證這個答案的資料。</x:v>
      </x:c>
      <x:c r="AG56" s="35" t="str">
        <x:v>隨堂卷</x:v>
      </x:c>
      <x:c r="AH56" s="35" t="str">
        <x:v>04_5上社會隨堂卷_第四單元看見福爾摩沙_教用_.pdf</x:v>
      </x:c>
      <x:c r="AI56" s="35" t="n">
        <x:v>3</x:v>
      </x:c>
    </x:row>
    <x:row r="57" ht="76" customHeight="1">
      <x:c r="A57" s="35" t="str">
        <x:v>5A-U4</x:v>
      </x:c>
      <x:c r="B57" s="35" t="str">
        <x:v>五上</x:v>
      </x:c>
      <x:c r="C57" s="35" t="n">
        <x:v>4</x:v>
      </x:c>
      <x:c r="D57" s="35" t="str">
        <x:v>看見福爾摩沙</x:v>
      </x:c>
      <x:c r="E57" s="35" t="str">
        <x:v>5A-U4-PAPER</x:v>
      </x:c>
      <x:c r="F57" s="35" t="n">
        <x:v>8</x:v>
      </x:c>
      <x:c r="G57" s="35" t="str">
        <x:v>月考卷A</x:v>
      </x:c>
      <x:c r="H57" s="35" t="str">
        <x:v>大航海時期，西班牙人除了在臺灣的北部地區建立城堡及教堂等建築以外，也在哪個地方設立貿易據點？</x:v>
      </x:c>
      <x:c r="I57" s="35" t="str">
        <x:v>巴達維亞</x:v>
      </x:c>
      <x:c r="J57" s="35" t="str">
        <x:v>馬尼拉</x:v>
      </x:c>
      <x:c r="K57" s="35" t="str">
        <x:v>澳門</x:v>
      </x:c>
      <x:c r="L57" s="35" t="str">
        <x:v>長崎</x:v>
      </x:c>
      <x:c r="M57" s="35" t="str">
        <x:v>B</x:v>
      </x:c>
      <x:c r="N57" s="35" t="str">
        <x:v>馬尼拉</x:v>
      </x:c>
      <x:c r="O57" s="35" t="str">
        <x:v>抓住題幹的關鍵詞，再比較每個選項和課本內容是否相符。</x:v>
      </x:c>
      <x:c r="P57" s="35" t="str">
        <x:v>把題幹線索和課本資料對照，可找到「馬尼拉」。西班牙人曾在臺灣北部建立據點；三貂角的名稱也和大航海時代的西班牙航行有關。</x:v>
      </x:c>
      <x:c r="Q57" s="35" t="str">
        <x:v>「巴達維亞」是干擾資料，和本題線索對不上；請改從「馬尼拉」思考。西班牙人曾在臺灣北部建立據點；三貂角的名稱也和大航海時代的西班牙航行有關。</x:v>
      </x:c>
      <x:c r="R57" s="35" t="str">
        <x:v>這項選擇成立；「馬尼拉」符合題目要求。西班牙人曾在臺灣北部建立據點；三貂角的名稱也和大航海時代的西班牙航行有關。</x:v>
      </x:c>
      <x:c r="S57" s="35" t="str">
        <x:v>選項「澳門」混入了不同背景的資料。回看題幹，應選「馬尼拉」。西班牙人曾在臺灣北部建立據點；三貂角的名稱也和大航海時代的西班牙航行有關。</x:v>
      </x:c>
      <x:c r="T57" s="35" t="str">
        <x:v>「長崎」沒有符合題幹限定的條件。正確方向是「馬尼拉」；西班牙人曾在臺灣北部建立據點；三貂角的名稱也和大航海時代的西班牙航行有關。</x:v>
      </x:c>
      <x:c r="U57" s="35" t="str">
        <x:v>題幹條件配對錯誤</x:v>
      </x:c>
      <x:c r="V57" s="35" t="str">
        <x:v>判斷正確</x:v>
      </x:c>
      <x:c r="W57" s="35" t="str">
        <x:v>題幹條件配對錯誤</x:v>
      </x:c>
      <x:c r="X57" s="35" t="str">
        <x:v>題幹條件配對錯誤</x:v>
      </x:c>
      <x:c r="Y57" s="35" t="str">
        <x:v>西班牙人曾在臺灣北部建立據點；三貂角的名稱也和大航海時代的西班牙航行有關。</x:v>
      </x:c>
      <x:c r="Z57" s="35" t="str">
        <x:v>臺灣位在歐亞板塊與菲律賓海板塊交界附近，板塊推擠形成多山地形，也使地震頻繁。</x:v>
      </x:c>
      <x:c r="AA57" s="35" t="str">
        <x:v>八仙洞遺址可見舊石器時代的生活線索，當時人們主要採集、狩獵，尚未發展農耕定居。</x:v>
      </x:c>
      <x:c r="AB57" s="35" t="str">
        <x:v>A</x:v>
      </x:c>
      <x:c r="AC57" s="35" t="str">
        <x:v>這項說明能直接支持「馬尼拉」，也補上題目背後的課本知識。</x:v>
      </x:c>
      <x:c r="AD57" s="35" t="str">
        <x:v>這項知識本身可能正確，但屬於其他單元，不能用來證明本題答案。</x:v>
      </x:c>
      <x:c r="AE57" s="35" t="str">
        <x:v>這段資料談的是另一個主題，和目前題幹缺少直接關係。</x:v>
      </x:c>
      <x:c r="AF57" s="35" t="str">
        <x:v>回到課本地圖、時間線或表格，找出能再次驗證這個答案的資料。</x:v>
      </x:c>
      <x:c r="AG57" s="35" t="str">
        <x:v>月考卷A</x:v>
      </x:c>
      <x:c r="AH57" s="35" t="str">
        <x:v>A03_5上社會月考卷_第四單元_教用_.pdf</x:v>
      </x:c>
      <x:c r="AI57" s="35" t="n">
        <x:v>3</x:v>
      </x:c>
    </x:row>
    <x:row r="58" ht="76" customHeight="1">
      <x:c r="A58" s="35" t="str">
        <x:v>5A-U4</x:v>
      </x:c>
      <x:c r="B58" s="35" t="str">
        <x:v>五上</x:v>
      </x:c>
      <x:c r="C58" s="35" t="n">
        <x:v>4</x:v>
      </x:c>
      <x:c r="D58" s="35" t="str">
        <x:v>看見福爾摩沙</x:v>
      </x:c>
      <x:c r="E58" s="35" t="str">
        <x:v>5A-U4-PAPER</x:v>
      </x:c>
      <x:c r="F58" s="35" t="n">
        <x:v>9</x:v>
      </x:c>
      <x:c r="G58" s="35" t="str">
        <x:v>月考卷B</x:v>
      </x:c>
      <x:c r="H58" s="35" t="str">
        <x:v>「熱蘭遮堡所處位置易守難攻，鄭成功運用圍城封鎖戰略，最終敵營因彈盡援絕而棄守投降。」上述的「敵營」指的是下列哪一個族群？</x:v>
      </x:c>
      <x:c r="I58" s="35" t="str">
        <x:v>葡萄牙人</x:v>
      </x:c>
      <x:c r="J58" s="35" t="str">
        <x:v>西班牙人</x:v>
      </x:c>
      <x:c r="K58" s="35" t="str">
        <x:v>清帝國</x:v>
      </x:c>
      <x:c r="L58" s="35" t="str">
        <x:v>荷蘭人</x:v>
      </x:c>
      <x:c r="M58" s="35" t="str">
        <x:v>D</x:v>
      </x:c>
      <x:c r="N58" s="35" t="str">
        <x:v>荷蘭人</x:v>
      </x:c>
      <x:c r="O58" s="35" t="str">
        <x:v>先找題幹的方向或地點線索，再和課本地圖對照。</x:v>
      </x:c>
      <x:c r="P58" s="35" t="str">
        <x:v>「荷蘭人」最符合題目所問的時間、地點或概念。荷蘭人曾以臺灣南部為據點，經營貿易、傳教並課徵稅收；熱蘭遮堡是重要據點。</x:v>
      </x:c>
      <x:c r="Q58" s="35" t="str">
        <x:v>這題不是在找「葡萄牙人」。對照課本後，「荷蘭人」才符合題意。荷蘭人曾以臺灣南部為據點，經營貿易、傳教並課徵稅收；熱蘭遮堡是重要據點。</x:v>
      </x:c>
      <x:c r="R58" s="35" t="str">
        <x:v>選項「西班牙人」混入了不同背景的資料。回看題幹，應選「荷蘭人」。荷蘭人曾以臺灣南部為據點，經營貿易、傳教並課徵稅收；熱蘭遮堡是重要據點。</x:v>
      </x:c>
      <x:c r="S58" s="35" t="str">
        <x:v>「清帝國」沒有符合題幹限定的條件。正確方向是「荷蘭人」；荷蘭人曾以臺灣南部為據點，經營貿易、傳教並課徵稅收；熱蘭遮堡是重要據點。</x:v>
      </x:c>
      <x:c r="T58" s="35" t="str">
        <x:v>答對了，「荷蘭人」和題幹線索相符。荷蘭人曾以臺灣南部為據點，經營貿易、傳教並課徵稅收；熱蘭遮堡是重要據點。</x:v>
      </x:c>
      <x:c r="U58" s="35" t="str">
        <x:v>題幹條件配對錯誤</x:v>
      </x:c>
      <x:c r="V58" s="35" t="str">
        <x:v>題幹條件配對錯誤</x:v>
      </x:c>
      <x:c r="W58" s="35" t="str">
        <x:v>題幹條件配對錯誤</x:v>
      </x:c>
      <x:c r="X58" s="35" t="str">
        <x:v>判斷正確</x:v>
      </x:c>
      <x:c r="Y58" s="35" t="str">
        <x:v>荷蘭人曾以臺灣南部為據點，經營貿易、傳教並課徵稅收；熱蘭遮堡是重要據點。</x:v>
      </x:c>
      <x:c r="Z58" s="35" t="str">
        <x:v>臺灣南方隔著巴士海峽與菲律賓相鄰，顯示臺灣位在東亞與東南亞之間。</x:v>
      </x:c>
      <x:c r="AA58" s="35" t="str">
        <x:v>判斷臺灣附屬島嶼的位置，要以臺灣本島為基準比較方向；綠島與蘭嶼位於本島東南方海域。</x:v>
      </x:c>
      <x:c r="AB58" s="35" t="str">
        <x:v>A</x:v>
      </x:c>
      <x:c r="AC58" s="35" t="str">
        <x:v>這項說明能直接支持「荷蘭人」，也補上題目背後的課本知識。</x:v>
      </x:c>
      <x:c r="AD58" s="35" t="str">
        <x:v>這項知識本身可能正確，但屬於其他單元，不能用來證明本題答案。</x:v>
      </x:c>
      <x:c r="AE58" s="35" t="str">
        <x:v>這段資料談的是另一個主題，和目前題幹缺少直接關係。</x:v>
      </x:c>
      <x:c r="AF58" s="35" t="str">
        <x:v>回到課本地圖、時間線或表格，找出能再次驗證這個答案的資料。</x:v>
      </x:c>
      <x:c r="AG58" s="35" t="str">
        <x:v>月考卷B</x:v>
      </x:c>
      <x:c r="AH58" s="35" t="str">
        <x:v>B03_5上社會月考卷_第四單元_教用_.pdf</x:v>
      </x:c>
      <x:c r="AI58" s="35" t="n">
        <x:v>4</x:v>
      </x:c>
    </x:row>
    <x:row r="59" ht="76" customHeight="1">
      <x:c r="A59" s="35" t="str">
        <x:v>5A-U4</x:v>
      </x:c>
      <x:c r="B59" s="35" t="str">
        <x:v>五上</x:v>
      </x:c>
      <x:c r="C59" s="35" t="n">
        <x:v>4</x:v>
      </x:c>
      <x:c r="D59" s="35" t="str">
        <x:v>看見福爾摩沙</x:v>
      </x:c>
      <x:c r="E59" s="35" t="str">
        <x:v>5A-U4-PAPER</x:v>
      </x:c>
      <x:c r="F59" s="35" t="n">
        <x:v>10</x:v>
      </x:c>
      <x:c r="G59" s="35" t="str">
        <x:v>隨堂卷</x:v>
      </x:c>
      <x:c r="H59" s="35" t="str">
        <x:v>西班牙人為了維持經濟利益，會和漢人與原住民族換取下列哪一種物品？</x:v>
      </x:c>
      <x:c r="I59" s="35" t="str">
        <x:v>絲綢</x:v>
      </x:c>
      <x:c r="J59" s="35" t="str">
        <x:v>瓷器</x:v>
      </x:c>
      <x:c r="K59" s="35" t="str">
        <x:v>軍用品</x:v>
      </x:c>
      <x:c r="L59" s="35" t="str">
        <x:v>硫磺</x:v>
      </x:c>
      <x:c r="M59" s="35" t="str">
        <x:v>D</x:v>
      </x:c>
      <x:c r="N59" s="35" t="str">
        <x:v>硫磺</x:v>
      </x:c>
      <x:c r="O59" s="35" t="str">
        <x:v>抓住題幹的關鍵詞，再比較每個選項和課本內容是否相符。</x:v>
      </x:c>
      <x:c r="P59" s="35" t="str">
        <x:v>判斷重點不在字數，而在內容是否符合課本；答案是「硫磺」。西班牙人曾在臺灣北部建立據點；三貂角的名稱也和大航海時代的西班牙航行有關。</x:v>
      </x:c>
      <x:c r="Q59" s="35" t="str">
        <x:v>選項「絲綢」混入了不同背景的資料。回看題幹，應選「硫磺」。西班牙人曾在臺灣北部建立據點；三貂角的名稱也和大航海時代的西班牙航行有關。</x:v>
      </x:c>
      <x:c r="R59" s="35" t="str">
        <x:v>「瓷器」沒有符合題幹限定的條件。正確方向是「硫磺」；西班牙人曾在臺灣北部建立據點；三貂角的名稱也和大航海時代的西班牙航行有關。</x:v>
      </x:c>
      <x:c r="S59" s="35" t="str">
        <x:v>先不要選「軍用品」。把人物、地點或概念重新配對後，應是「硫磺」。西班牙人曾在臺灣北部建立據點；三貂角的名稱也和大航海時代的西班牙航行有關。</x:v>
      </x:c>
      <x:c r="T59" s="35" t="str">
        <x:v>判斷正確！你找到了「硫磺」這個關鍵。西班牙人曾在臺灣北部建立據點；三貂角的名稱也和大航海時代的西班牙航行有關。</x:v>
      </x:c>
      <x:c r="U59" s="35" t="str">
        <x:v>題幹條件配對錯誤</x:v>
      </x:c>
      <x:c r="V59" s="35" t="str">
        <x:v>題幹條件配對錯誤</x:v>
      </x:c>
      <x:c r="W59" s="35" t="str">
        <x:v>題幹條件配對錯誤</x:v>
      </x:c>
      <x:c r="X59" s="35" t="str">
        <x:v>判斷正確</x:v>
      </x:c>
      <x:c r="Y59" s="35" t="str">
        <x:v>西班牙人曾在臺灣北部建立據點；三貂角的名稱也和大航海時代的西班牙航行有關。</x:v>
      </x:c>
      <x:c r="Z59" s="35" t="str">
        <x:v>法律由國家制定並具有強制力，可維持秩序、保障權利；少年事件處理法重視未成年人的健全成長。</x:v>
      </x:c>
      <x:c r="AA59" s="35" t="str">
        <x:v>社會規範包括風俗、倫理道德、宗教信仰與法律，不同規範的形成方式和強制力並不相同。</x:v>
      </x:c>
      <x:c r="AB59" s="35" t="str">
        <x:v>A</x:v>
      </x:c>
      <x:c r="AC59" s="35" t="str">
        <x:v>這項說明能直接支持「硫磺」，也補上題目背後的課本知識。</x:v>
      </x:c>
      <x:c r="AD59" s="35" t="str">
        <x:v>這項知識本身可能正確，但屬於其他單元，不能用來證明本題答案。</x:v>
      </x:c>
      <x:c r="AE59" s="35" t="str">
        <x:v>這段資料談的是另一個主題，和目前題幹缺少直接關係。</x:v>
      </x:c>
      <x:c r="AF59" s="35" t="str">
        <x:v>回到課本地圖、時間線或表格，找出能再次驗證這個答案的資料。</x:v>
      </x:c>
      <x:c r="AG59" s="35" t="str">
        <x:v>隨堂卷</x:v>
      </x:c>
      <x:c r="AH59" s="35" t="str">
        <x:v>04_5上社會隨堂卷_第四單元看見福爾摩沙_教用_.pdf</x:v>
      </x:c>
      <x:c r="AI59" s="35" t="n">
        <x:v>4</x:v>
      </x:c>
    </x:row>
    <x:row r="60" ht="76" customHeight="1">
      <x:c r="A60" s="35" t="str">
        <x:v>5A-U4</x:v>
      </x:c>
      <x:c r="B60" s="35" t="str">
        <x:v>五上</x:v>
      </x:c>
      <x:c r="C60" s="35" t="n">
        <x:v>4</x:v>
      </x:c>
      <x:c r="D60" s="35" t="str">
        <x:v>看見福爾摩沙</x:v>
      </x:c>
      <x:c r="E60" s="35" t="str">
        <x:v>5A-U4-PAPER</x:v>
      </x:c>
      <x:c r="F60" s="35" t="n">
        <x:v>11</x:v>
      </x:c>
      <x:c r="G60" s="35" t="str">
        <x:v>月考卷A</x:v>
      </x:c>
      <x:c r="H60" s="35" t="str">
        <x:v>下列有關鄭氏政權占領臺灣後發展的敘述，哪一項錯誤？</x:v>
      </x:c>
      <x:c r="I60" s="35" t="str">
        <x:v>推展文化與教育事業</x:v>
      </x:c>
      <x:c r="J60" s="35" t="str">
        <x:v>建立第一個漢人政權</x:v>
      </x:c>
      <x:c r="K60" s="35" t="str">
        <x:v>制定中央與地方官制</x:v>
      </x:c>
      <x:c r="L60" s="35" t="str">
        <x:v>禁止漢人渡海來臺</x:v>
      </x:c>
      <x:c r="M60" s="35" t="str">
        <x:v>D</x:v>
      </x:c>
      <x:c r="N60" s="35" t="str">
        <x:v>禁止漢人渡海來臺</x:v>
      </x:c>
      <x:c r="O60" s="35" t="str">
        <x:v>先圈出題幹中的否定詞，再逐一檢查四個選項。</x:v>
      </x:c>
      <x:c r="P60" s="35" t="str">
        <x:v>關鍵答案是「禁止漢人渡海來臺」。這題要核對大航海時代的人物、地點與事件先後。</x:v>
      </x:c>
      <x:c r="Q60" s="35" t="str">
        <x:v>「推展文化與教育事業」沒有符合題幹限定的條件。正確方向是「禁止漢人渡海來臺」；這題要核對大航海時代的人物、地點與事件先後。</x:v>
      </x:c>
      <x:c r="R60" s="35" t="str">
        <x:v>先不要選「建立第一個漢人政權」。把人物、地點或概念重新配對後，應是「禁止漢人渡海來臺」。這題要核對大航海時代的人物、地點與事件先後。</x:v>
      </x:c>
      <x:c r="S60" s="35" t="str">
        <x:v>「制定中央與地方官制」是干擾資料，和本題線索對不上；請改從「禁止漢人渡海來臺」思考。這題要核對大航海時代的人物、地點與事件先後。</x:v>
      </x:c>
      <x:c r="T60" s="35" t="str">
        <x:v>沒錯，課本中的相關資料支持「禁止漢人渡海來臺」。這題要核對大航海時代的人物、地點與事件先後。</x:v>
      </x:c>
      <x:c r="U60" s="35" t="str">
        <x:v>題幹條件配對錯誤</x:v>
      </x:c>
      <x:c r="V60" s="35" t="str">
        <x:v>題幹條件配對錯誤</x:v>
      </x:c>
      <x:c r="W60" s="35" t="str">
        <x:v>題幹條件配對錯誤</x:v>
      </x:c>
      <x:c r="X60" s="35" t="str">
        <x:v>判斷正確</x:v>
      </x:c>
      <x:c r="Y60" s="35" t="str">
        <x:v>這題要核對大航海時代的人物、地點與事件先後。</x:v>
      </x:c>
      <x:c r="Z60" s="35" t="str">
        <x:v>阿美族傳統社會具有母系特色，家族與財產傳承常以女性為重要核心。</x:v>
      </x:c>
      <x:c r="AA60" s="35" t="str">
        <x:v>社會規範包括風俗、倫理道德、宗教信仰與法律，不同規範的形成方式和強制力並不相同。</x:v>
      </x:c>
      <x:c r="AB60" s="35" t="str">
        <x:v>A</x:v>
      </x:c>
      <x:c r="AC60" s="35" t="str">
        <x:v>這項說明能直接支持「禁止漢人渡海來臺」，也補上題目背後的課本知識。</x:v>
      </x:c>
      <x:c r="AD60" s="35" t="str">
        <x:v>這項知識本身可能正確，但屬於其他單元，不能用來證明本題答案。</x:v>
      </x:c>
      <x:c r="AE60" s="35" t="str">
        <x:v>這段資料談的是另一個主題，和目前題幹缺少直接關係。</x:v>
      </x:c>
      <x:c r="AF60" s="35" t="str">
        <x:v>回到課本地圖、時間線或表格，找出能再次驗證這個答案的資料。</x:v>
      </x:c>
      <x:c r="AG60" s="35" t="str">
        <x:v>月考卷A</x:v>
      </x:c>
      <x:c r="AH60" s="35" t="str">
        <x:v>A03_5上社會月考卷_第四單元_教用_.pdf</x:v>
      </x:c>
      <x:c r="AI60" s="35" t="n">
        <x:v>4</x:v>
      </x:c>
    </x:row>
    <x:row r="61" ht="76" customHeight="1">
      <x:c r="A61" s="35" t="str">
        <x:v>5A-U4</x:v>
      </x:c>
      <x:c r="B61" s="35" t="str">
        <x:v>五上</x:v>
      </x:c>
      <x:c r="C61" s="35" t="n">
        <x:v>4</x:v>
      </x:c>
      <x:c r="D61" s="35" t="str">
        <x:v>看見福爾摩沙</x:v>
      </x:c>
      <x:c r="E61" s="35" t="str">
        <x:v>5A-U4-PAPER</x:v>
      </x:c>
      <x:c r="F61" s="35" t="n">
        <x:v>12</x:v>
      </x:c>
      <x:c r="G61" s="35" t="str">
        <x:v>月考卷B</x:v>
      </x:c>
      <x:c r="H61" s="35" t="str">
        <x:v>荷蘭人統治臺灣時，曾以哪種方式向原住民族傳教？</x:v>
      </x:c>
      <x:c r="I61" s="35" t="str">
        <x:v>規定原住民族每日到教堂禮拜</x:v>
      </x:c>
      <x:c r="J61" s="35" t="str">
        <x:v>要求原住民族兒童到荷蘭留學</x:v>
      </x:c>
      <x:c r="K61" s="35" t="str">
        <x:v>以羅馬文字編寫原住民族語言</x:v>
      </x:c>
      <x:c r="L61" s="35" t="str">
        <x:v>任命荷蘭傳教士擔任部落長老</x:v>
      </x:c>
      <x:c r="M61" s="35" t="str">
        <x:v>C</x:v>
      </x:c>
      <x:c r="N61" s="35" t="str">
        <x:v>以羅馬文字編寫原住民族語言</x:v>
      </x:c>
      <x:c r="O61" s="35" t="str">
        <x:v>抓住題幹的關鍵詞，再比較每個選項和課本內容是否相符。</x:v>
      </x:c>
      <x:c r="P61" s="35" t="str">
        <x:v>依課本內容，這題應選「以羅馬文字編寫原住民族語言」。荷蘭人曾以臺灣南部為據點，經營貿易、傳教並課徵稅收；熱蘭遮堡是重要據點。</x:v>
      </x:c>
      <x:c r="Q61" s="35" t="str">
        <x:v>先不要選「規定原住民族每日到教堂禮拜」。把人物、地點或概念重新配對後，應是「以羅馬文字編寫原住民族語言」。荷蘭人曾以臺灣南部為據點，經營貿易、傳教並課徵稅收；熱蘭遮堡是重要據點。</x:v>
      </x:c>
      <x:c r="R61" s="35" t="str">
        <x:v>「要求原住民族兒童到荷蘭留學」是干擾資料，和本題線索對不上；請改從「以羅馬文字編寫原住民族語言」思考。荷蘭人曾以臺灣南部為據點，經營貿易、傳教並課徵稅收；熱蘭遮堡是重要據點。</x:v>
      </x:c>
      <x:c r="S61" s="35" t="str">
        <x:v>這項選擇成立；「以羅馬文字編寫原住民族語言」符合題目要求。荷蘭人曾以臺灣南部為據點，經營貿易、傳教並課徵稅收；熱蘭遮堡是重要據點。</x:v>
      </x:c>
      <x:c r="T61" s="35" t="str">
        <x:v>選項「任命荷蘭傳教士擔任部落長老」混入了不同背景的資料。回看題幹，應選「以羅馬文字編寫原住民族語言」。荷蘭人曾以臺灣南部為據點，經營貿易、傳教並課徵稅收；熱蘭遮堡是重要據點。</x:v>
      </x:c>
      <x:c r="U61" s="35" t="str">
        <x:v>題幹條件配對錯誤</x:v>
      </x:c>
      <x:c r="V61" s="35" t="str">
        <x:v>題幹條件配對錯誤</x:v>
      </x:c>
      <x:c r="W61" s="35" t="str">
        <x:v>判斷正確</x:v>
      </x:c>
      <x:c r="X61" s="35" t="str">
        <x:v>題幹條件配對錯誤</x:v>
      </x:c>
      <x:c r="Y61" s="35" t="str">
        <x:v>荷蘭人曾以臺灣南部為據點，經營貿易、傳教並課徵稅收；熱蘭遮堡是重要據點。</x:v>
      </x:c>
      <x:c r="Z61" s="35" t="str">
        <x:v>法律由國家制定並具有強制力，可維持秩序、保障權利；少年事件處理法重視未成年人的健全成長。</x:v>
      </x:c>
      <x:c r="AA61" s="35" t="str">
        <x:v>臺灣周邊海流交會，帶來多樣漁業資源；過度捕撈會使魚群減少，因此需要適當的取用與管理。</x:v>
      </x:c>
      <x:c r="AB61" s="35" t="str">
        <x:v>A</x:v>
      </x:c>
      <x:c r="AC61" s="35" t="str">
        <x:v>這項說明能直接支持「以羅馬文字編寫原住民族語言」，也補上題目背後的課本知識。</x:v>
      </x:c>
      <x:c r="AD61" s="35" t="str">
        <x:v>這項知識本身可能正確，但屬於其他單元，不能用來證明本題答案。</x:v>
      </x:c>
      <x:c r="AE61" s="35" t="str">
        <x:v>這段資料談的是另一個主題，和目前題幹缺少直接關係。</x:v>
      </x:c>
      <x:c r="AF61" s="35" t="str">
        <x:v>回到課本地圖、時間線或表格，找出能再次驗證這個答案的資料。</x:v>
      </x:c>
      <x:c r="AG61" s="35" t="str">
        <x:v>月考卷B</x:v>
      </x:c>
      <x:c r="AH61" s="35" t="str">
        <x:v>B03_5上社會月考卷_第四單元_教用_.pdf</x:v>
      </x:c>
      <x:c r="AI61" s="35" t="n">
        <x:v>5</x:v>
      </x:c>
    </x:row>
    <x:row r="62" ht="76" customHeight="1">
      <x:c r="A62" s="35" t="str">
        <x:v>5A-U4</x:v>
      </x:c>
      <x:c r="B62" s="35" t="str">
        <x:v>五上</x:v>
      </x:c>
      <x:c r="C62" s="35" t="n">
        <x:v>4</x:v>
      </x:c>
      <x:c r="D62" s="35" t="str">
        <x:v>看見福爾摩沙</x:v>
      </x:c>
      <x:c r="E62" s="35" t="str">
        <x:v>5A-U4-PAPER</x:v>
      </x:c>
      <x:c r="F62" s="35" t="n">
        <x:v>13</x:v>
      </x:c>
      <x:c r="G62" s="35" t="str">
        <x:v>隨堂卷</x:v>
      </x:c>
      <x:c r="H62" s="35" t="str">
        <x:v>下列哪一項是鄭成功渡海來臺的主要原因？</x:v>
      </x:c>
      <x:c r="I62" s="35" t="str">
        <x:v>抓捕清帝國的逃犯</x:v>
      </x:c>
      <x:c r="J62" s="35" t="str">
        <x:v>被清帝國指派來臺</x:v>
      </x:c>
      <x:c r="K62" s="35" t="str">
        <x:v>為了取得「反清」的基地</x:v>
      </x:c>
      <x:c r="L62" s="35" t="str">
        <x:v>尋找養老的地方</x:v>
      </x:c>
      <x:c r="M62" s="35" t="str">
        <x:v>C</x:v>
      </x:c>
      <x:c r="N62" s="35" t="str">
        <x:v>為了取得「反清」的基地</x:v>
      </x:c>
      <x:c r="O62" s="35" t="str">
        <x:v>找出題幹中的原因與結果，檢查兩者是否能連起來。</x:v>
      </x:c>
      <x:c r="P62" s="35" t="str">
        <x:v>把題幹線索和課本資料對照，可找到「為了取得「反清」的基地」。鄭成功驅逐荷蘭人後建立鄭氏政權；鄭經與陳永華推動屯墾、教育等措施，鄭芝龍則較早經營海上勢力。</x:v>
      </x:c>
      <x:c r="Q62" s="35" t="str">
        <x:v>「抓捕清帝國的逃犯」是干擾資料，和本題線索對不上；請改從「為了取得「反清」的基地」思考。鄭成功驅逐荷蘭人後建立鄭氏政權；鄭經與陳永華推動屯墾、教育等措施，鄭芝龍則較早經營海上勢力。</x:v>
      </x:c>
      <x:c r="R62" s="35" t="str">
        <x:v>這題不是在找「被清帝國指派來臺」。對照課本後，「為了取得「反清」的基地」才符合題意。鄭成功驅逐荷蘭人後建立鄭氏政權；鄭經與陳永華推動屯墾、教育等措施，鄭芝龍則較早經營海上勢力。</x:v>
      </x:c>
      <x:c r="S62" s="35" t="str">
        <x:v>答對了，「為了取得「反清」的基地」和題幹線索相符。鄭成功驅逐荷蘭人後建立鄭氏政權；鄭經與陳永華推動屯墾、教育等措施，鄭芝龍則較早經營海上勢力。</x:v>
      </x:c>
      <x:c r="T62" s="35" t="str">
        <x:v>「尋找養老的地方」沒有符合題幹限定的條件。正確方向是「為了取得「反清」的基地」；鄭成功驅逐荷蘭人後建立鄭氏政權；鄭經與陳永華推動屯墾、教育等措施，鄭芝龍則較早經營海上勢力。</x:v>
      </x:c>
      <x:c r="U62" s="35" t="str">
        <x:v>題幹條件配對錯誤</x:v>
      </x:c>
      <x:c r="V62" s="35" t="str">
        <x:v>題幹條件配對錯誤</x:v>
      </x:c>
      <x:c r="W62" s="35" t="str">
        <x:v>判斷正確</x:v>
      </x:c>
      <x:c r="X62" s="35" t="str">
        <x:v>題幹條件配對錯誤</x:v>
      </x:c>
      <x:c r="Y62" s="35" t="str">
        <x:v>鄭成功驅逐荷蘭人後建立鄭氏政權；鄭經與陳永華推動屯墾、教育等措施，鄭芝龍則較早經營海上勢力。</x:v>
      </x:c>
      <x:c r="Z62" s="35" t="str">
        <x:v>臺灣礦業曾帶動地方發展，但多數礦產逐漸停採；花蓮仍有大理石礦，瑞芳、九份過去則以煤或金礦聞名。</x:v>
      </x:c>
      <x:c r="AA62" s="35" t="str">
        <x:v>臺灣周邊海流交會，帶來多樣漁業資源；過度捕撈會使魚群減少，因此需要適當的取用與管理。</x:v>
      </x:c>
      <x:c r="AB62" s="35" t="str">
        <x:v>A</x:v>
      </x:c>
      <x:c r="AC62" s="35" t="str">
        <x:v>這項說明能直接支持「為了取得「反清」的基地」，也補上題目背後的課本知識。</x:v>
      </x:c>
      <x:c r="AD62" s="35" t="str">
        <x:v>這項知識本身可能正確，但屬於其他單元，不能用來證明本題答案。</x:v>
      </x:c>
      <x:c r="AE62" s="35" t="str">
        <x:v>這段資料談的是另一個主題，和目前題幹缺少直接關係。</x:v>
      </x:c>
      <x:c r="AF62" s="35" t="str">
        <x:v>回到課本地圖、時間線或表格，找出能再次驗證這個答案的資料。</x:v>
      </x:c>
      <x:c r="AG62" s="35" t="str">
        <x:v>隨堂卷</x:v>
      </x:c>
      <x:c r="AH62" s="35" t="str">
        <x:v>04_5上社會隨堂卷_第四單元看見福爾摩沙_教用_.pdf</x:v>
      </x:c>
      <x:c r="AI62" s="35" t="n">
        <x:v>5</x:v>
      </x:c>
    </x:row>
    <x:row r="63" ht="76" customHeight="1">
      <x:c r="A63" s="35" t="str">
        <x:v>5A-U4</x:v>
      </x:c>
      <x:c r="B63" s="35" t="str">
        <x:v>五上</x:v>
      </x:c>
      <x:c r="C63" s="35" t="n">
        <x:v>4</x:v>
      </x:c>
      <x:c r="D63" s="35" t="str">
        <x:v>看見福爾摩沙</x:v>
      </x:c>
      <x:c r="E63" s="35" t="str">
        <x:v>5A-U4-PAPER</x:v>
      </x:c>
      <x:c r="F63" s="35" t="n">
        <x:v>14</x:v>
      </x:c>
      <x:c r="G63" s="35" t="str">
        <x:v>月考卷A</x:v>
      </x:c>
      <x:c r="H63" s="35" t="str">
        <x:v>鄭氏政權讓軍隊在駐紮地開墾，是為了下列哪一項目的？</x:v>
      </x:c>
      <x:c r="I63" s="35" t="str">
        <x:v>解決糧食不足的問題</x:v>
      </x:c>
      <x:c r="J63" s="35" t="str">
        <x:v>促進臺灣農業技術發展</x:v>
      </x:c>
      <x:c r="K63" s="35" t="str">
        <x:v>消耗多餘人力</x:v>
      </x:c>
      <x:c r="L63" s="35" t="str">
        <x:v>避免農民反抗</x:v>
      </x:c>
      <x:c r="M63" s="35" t="str">
        <x:v>A</x:v>
      </x:c>
      <x:c r="N63" s="35" t="str">
        <x:v>解決糧食不足的問題</x:v>
      </x:c>
      <x:c r="O63" s="35" t="str">
        <x:v>抓住題幹的關鍵詞，再比較每個選項和課本內容是否相符。</x:v>
      </x:c>
      <x:c r="P63" s="35" t="str">
        <x:v>「解決糧食不足的問題」最符合題目所問的時間、地點或概念。這題要核對大航海時代的人物、地點與事件先後。</x:v>
      </x:c>
      <x:c r="Q63" s="35" t="str">
        <x:v>判斷正確！你找到了「解決糧食不足的問題」這個關鍵。這題要核對大航海時代的人物、地點與事件先後。</x:v>
      </x:c>
      <x:c r="R63" s="35" t="str">
        <x:v>選項「促進臺灣農業技術發展」混入了不同背景的資料。回看題幹，應選「解決糧食不足的問題」。這題要核對大航海時代的人物、地點與事件先後。</x:v>
      </x:c>
      <x:c r="S63" s="35" t="str">
        <x:v>「消耗多餘人力」沒有符合題幹限定的條件。正確方向是「解決糧食不足的問題」；這題要核對大航海時代的人物、地點與事件先後。</x:v>
      </x:c>
      <x:c r="T63" s="35" t="str">
        <x:v>先不要選「避免農民反抗」。把人物、地點或概念重新配對後，應是「解決糧食不足的問題」。這題要核對大航海時代的人物、地點與事件先後。</x:v>
      </x:c>
      <x:c r="U63" s="35" t="str">
        <x:v>判斷正確</x:v>
      </x:c>
      <x:c r="V63" s="35" t="str">
        <x:v>題幹條件配對錯誤</x:v>
      </x:c>
      <x:c r="W63" s="35" t="str">
        <x:v>題幹條件配對錯誤</x:v>
      </x:c>
      <x:c r="X63" s="35" t="str">
        <x:v>題幹條件配對錯誤</x:v>
      </x:c>
      <x:c r="Y63" s="35" t="str">
        <x:v>這題要核對大航海時代的人物、地點與事件先後。</x:v>
      </x:c>
      <x:c r="Z63" s="35" t="str">
        <x:v>畜牧業能供應肉、蛋、乳品，也需處理傳染病、動物照養與環境污染等問題。</x:v>
      </x:c>
      <x:c r="AA63" s="35" t="str">
        <x:v>臺灣周邊海流交會，帶來多樣漁業資源；過度捕撈會使魚群減少，因此需要適當的取用與管理。</x:v>
      </x:c>
      <x:c r="AB63" s="35" t="str">
        <x:v>A</x:v>
      </x:c>
      <x:c r="AC63" s="35" t="str">
        <x:v>這項說明能直接支持「解決糧食不足的問題」，也補上題目背後的課本知識。</x:v>
      </x:c>
      <x:c r="AD63" s="35" t="str">
        <x:v>這項知識本身可能正確，但屬於其他單元，不能用來證明本題答案。</x:v>
      </x:c>
      <x:c r="AE63" s="35" t="str">
        <x:v>這段資料談的是另一個主題，和目前題幹缺少直接關係。</x:v>
      </x:c>
      <x:c r="AF63" s="35" t="str">
        <x:v>回到課本地圖、時間線或表格，找出能再次驗證這個答案的資料。</x:v>
      </x:c>
      <x:c r="AG63" s="35" t="str">
        <x:v>月考卷A</x:v>
      </x:c>
      <x:c r="AH63" s="35" t="str">
        <x:v>A03_5上社會月考卷_第四單元_教用_.pdf</x:v>
      </x:c>
      <x:c r="AI63" s="35" t="n">
        <x:v>5</x:v>
      </x:c>
    </x:row>
    <x:row r="64" ht="76" customHeight="1">
      <x:c r="A64" s="35" t="str">
        <x:v>5A-U4</x:v>
      </x:c>
      <x:c r="B64" s="35" t="str">
        <x:v>五上</x:v>
      </x:c>
      <x:c r="C64" s="35" t="n">
        <x:v>4</x:v>
      </x:c>
      <x:c r="D64" s="35" t="str">
        <x:v>看見福爾摩沙</x:v>
      </x:c>
      <x:c r="E64" s="35" t="str">
        <x:v>5A-U4-PAPER</x:v>
      </x:c>
      <x:c r="F64" s="35" t="n">
        <x:v>15</x:v>
      </x:c>
      <x:c r="G64" s="35" t="str">
        <x:v>月考卷B</x:v>
      </x:c>
      <x:c r="H64" s="35" t="str">
        <x:v>西班牙人來到臺灣後，開始在勢力範圍內建立城堡與教堂。下列哪一個地區曾屬於西班牙人的勢力範圍？</x:v>
      </x:c>
      <x:c r="I64" s="35" t="str">
        <x:v>臺南</x:v>
      </x:c>
      <x:c r="J64" s="35" t="str">
        <x:v>高雄</x:v>
      </x:c>
      <x:c r="K64" s="35" t="str">
        <x:v>淡水</x:v>
      </x:c>
      <x:c r="L64" s="35" t="str">
        <x:v>屏東</x:v>
      </x:c>
      <x:c r="M64" s="35" t="str">
        <x:v>C</x:v>
      </x:c>
      <x:c r="N64" s="35" t="str">
        <x:v>淡水</x:v>
      </x:c>
      <x:c r="O64" s="35" t="str">
        <x:v>先找題幹的方向或地點線索，再和課本地圖對照。</x:v>
      </x:c>
      <x:c r="P64" s="35" t="str">
        <x:v>判斷重點不在字數，而在內容是否符合課本；答案是「淡水」。西班牙人曾在臺灣北部建立據點；三貂角的名稱也和大航海時代的西班牙航行有關。</x:v>
      </x:c>
      <x:c r="Q64" s="35" t="str">
        <x:v>選項「臺南」混入了不同背景的資料。回看題幹，應選「淡水」。西班牙人曾在臺灣北部建立據點；三貂角的名稱也和大航海時代的西班牙航行有關。</x:v>
      </x:c>
      <x:c r="R64" s="35" t="str">
        <x:v>「高雄」沒有符合題幹限定的條件。正確方向是「淡水」；西班牙人曾在臺灣北部建立據點；三貂角的名稱也和大航海時代的西班牙航行有關。</x:v>
      </x:c>
      <x:c r="S64" s="35" t="str">
        <x:v>沒錯，課本中的相關資料支持「淡水」。西班牙人曾在臺灣北部建立據點；三貂角的名稱也和大航海時代的西班牙航行有關。</x:v>
      </x:c>
      <x:c r="T64" s="35" t="str">
        <x:v>「屏東」是干擾資料，和本題線索對不上；請改從「淡水」思考。西班牙人曾在臺灣北部建立據點；三貂角的名稱也和大航海時代的西班牙航行有關。</x:v>
      </x:c>
      <x:c r="U64" s="35" t="str">
        <x:v>題幹條件配對錯誤</x:v>
      </x:c>
      <x:c r="V64" s="35" t="str">
        <x:v>題幹條件配對錯誤</x:v>
      </x:c>
      <x:c r="W64" s="35" t="str">
        <x:v>判斷正確</x:v>
      </x:c>
      <x:c r="X64" s="35" t="str">
        <x:v>題幹條件配對錯誤</x:v>
      </x:c>
      <x:c r="Y64" s="35" t="str">
        <x:v>西班牙人曾在臺灣北部建立據點；三貂角的名稱也和大航海時代的西班牙航行有關。</x:v>
      </x:c>
      <x:c r="Z64" s="35" t="str">
        <x:v>臺灣南部乾季明顯、日照充足，沿海平坦，因此適合發展晒鹽等產業。</x:v>
      </x:c>
      <x:c r="AA64" s="35" t="str">
        <x:v>這題要從清代移民、開墾、族群互動與地方生活的背景判斷。</x:v>
      </x:c>
      <x:c r="AB64" s="35" t="str">
        <x:v>A</x:v>
      </x:c>
      <x:c r="AC64" s="35" t="str">
        <x:v>這項說明能直接支持「淡水」，也補上題目背後的課本知識。</x:v>
      </x:c>
      <x:c r="AD64" s="35" t="str">
        <x:v>這項知識本身可能正確，但屬於其他單元，不能用來證明本題答案。</x:v>
      </x:c>
      <x:c r="AE64" s="35" t="str">
        <x:v>這段資料談的是另一個主題，和目前題幹缺少直接關係。</x:v>
      </x:c>
      <x:c r="AF64" s="35" t="str">
        <x:v>回到課本地圖、時間線或表格，找出能再次驗證這個答案的資料。</x:v>
      </x:c>
      <x:c r="AG64" s="35" t="str">
        <x:v>月考卷B</x:v>
      </x:c>
      <x:c r="AH64" s="35" t="str">
        <x:v>B03_5上社會月考卷_第四單元_教用_.pdf</x:v>
      </x:c>
      <x:c r="AI64" s="35" t="n">
        <x:v>6</x:v>
      </x:c>
    </x:row>
    <x:row r="65" ht="76" customHeight="1">
      <x:c r="A65" s="34" t="str">
        <x:v>5B-U1</x:v>
      </x:c>
      <x:c r="B65" s="34" t="str">
        <x:v>五下</x:v>
      </x:c>
      <x:c r="C65" s="34" t="n">
        <x:v>1</x:v>
      </x:c>
      <x:c r="D65" s="34" t="str">
        <x:v>唐山到臺灣</x:v>
      </x:c>
      <x:c r="E65" s="34" t="str">
        <x:v>5B-U1-PAPER</x:v>
      </x:c>
      <x:c r="F65" s="34" t="n">
        <x:v>1</x:v>
      </x:c>
      <x:c r="G65" s="34" t="str">
        <x:v>隨堂卷</x:v>
      </x:c>
      <x:c r="H65" s="34" t="str">
        <x:v>清帝國將臺灣納入版圖後，開始有大量移民渡海來臺，其中以哪兩個省來臺的人數最多？</x:v>
      </x:c>
      <x:c r="I65" s="34" t="str">
        <x:v>山東、河南</x:v>
      </x:c>
      <x:c r="J65" s="34" t="str">
        <x:v>福建、廣東</x:v>
      </x:c>
      <x:c r="K65" s="34" t="str">
        <x:v>湖北、雲南</x:v>
      </x:c>
      <x:c r="L65" s="34" t="str">
        <x:v>四川、江蘇</x:v>
      </x:c>
      <x:c r="M65" s="34" t="str">
        <x:v>B</x:v>
      </x:c>
      <x:c r="N65" s="34" t="str">
        <x:v>福建、廣東</x:v>
      </x:c>
      <x:c r="O65" s="34" t="str">
        <x:v>抓住題幹的關鍵詞，再比較每個選項和課本內容是否相符。</x:v>
      </x:c>
      <x:c r="P65" s="34" t="str">
        <x:v>關鍵答案是「福建、廣東」。早期漢人渡過臺灣海峽來臺，航程受到季風、海象與船隻條件影響；『黑水溝』常指澎湖與臺灣島間的危險水域。</x:v>
      </x:c>
      <x:c r="Q65" s="34" t="str">
        <x:v>「山東、河南」沒有符合題幹限定的條件。正確方向是「福建、廣東」；早期漢人渡過臺灣海峽來臺，航程受到季風、海象與船隻條件影響；『黑水溝』常指澎湖與臺灣島間的危險水域。</x:v>
      </x:c>
      <x:c r="R65" s="34" t="str">
        <x:v>答對了，「福建、廣東」和題幹線索相符。早期漢人渡過臺灣海峽來臺，航程受到季風、海象與船隻條件影響；『黑水溝』常指澎湖與臺灣島間的危險水域。</x:v>
      </x:c>
      <x:c r="S65" s="34" t="str">
        <x:v>「湖北、雲南」是干擾資料，和本題線索對不上；請改從「福建、廣東」思考。早期漢人渡過臺灣海峽來臺，航程受到季風、海象與船隻條件影響；『黑水溝』常指澎湖與臺灣島間的危險水域。</x:v>
      </x:c>
      <x:c r="T65" s="34" t="str">
        <x:v>這題不是在找「四川、江蘇」。對照課本後，「福建、廣東」才符合題意。早期漢人渡過臺灣海峽來臺，航程受到季風、海象與船隻條件影響；『黑水溝』常指澎湖與臺灣島間的危險水域。</x:v>
      </x:c>
      <x:c r="U65" s="34" t="str">
        <x:v>題幹條件配對錯誤</x:v>
      </x:c>
      <x:c r="V65" s="34" t="str">
        <x:v>判斷正確</x:v>
      </x:c>
      <x:c r="W65" s="34" t="str">
        <x:v>題幹條件配對錯誤</x:v>
      </x:c>
      <x:c r="X65" s="34" t="str">
        <x:v>題幹條件配對錯誤</x:v>
      </x:c>
      <x:c r="Y65" s="34" t="str">
        <x:v>早期漢人渡過臺灣海峽來臺，航程受到季風、海象與船隻條件影響；『黑水溝』常指澎湖與臺灣島間的危險水域。</x:v>
      </x:c>
      <x:c r="Z65" s="34" t="str">
        <x:v>火力發電依靠煤、石油或天然氣等燃料，不屬於再生能源；再生能源則可在自然循環中持續補充。</x:v>
      </x:c>
      <x:c r="AA65" s="34" t="str">
        <x:v>沼氣可由有機廢棄物產生並用來發電，但處理不當的氣味可能影響附近居民。</x:v>
      </x:c>
      <x:c r="AB65" s="34" t="str">
        <x:v>A</x:v>
      </x:c>
      <x:c r="AC65" s="34" t="str">
        <x:v>這項說明能直接支持「福建、廣東」，也補上題目背後的課本知識。</x:v>
      </x:c>
      <x:c r="AD65" s="34" t="str">
        <x:v>這項知識本身可能正確，但屬於其他單元，不能用來證明本題答案。</x:v>
      </x:c>
      <x:c r="AE65" s="34" t="str">
        <x:v>這段資料談的是另一個主題，和目前題幹缺少直接關係。</x:v>
      </x:c>
      <x:c r="AF65" s="34" t="str">
        <x:v>回到課本地圖、時間線或表格，找出能再次驗證這個答案的資料。</x:v>
      </x:c>
      <x:c r="AG65" s="34" t="str">
        <x:v>隨堂卷</x:v>
      </x:c>
      <x:c r="AH65" s="34" t="str">
        <x:v>01_5下社會隨堂卷_第一單元唐山到臺灣_教用.pdf</x:v>
      </x:c>
      <x:c r="AI65" s="34" t="n">
        <x:v>1</x:v>
      </x:c>
    </x:row>
    <x:row r="66" ht="76" customHeight="1">
      <x:c r="A66" s="34" t="str">
        <x:v>5B-U1</x:v>
      </x:c>
      <x:c r="B66" s="34" t="str">
        <x:v>五下</x:v>
      </x:c>
      <x:c r="C66" s="34" t="n">
        <x:v>1</x:v>
      </x:c>
      <x:c r="D66" s="34" t="str">
        <x:v>唐山到臺灣</x:v>
      </x:c>
      <x:c r="E66" s="34" t="str">
        <x:v>5B-U1-PAPER</x:v>
      </x:c>
      <x:c r="F66" s="34" t="n">
        <x:v>2</x:v>
      </x:c>
      <x:c r="G66" s="34" t="str">
        <x:v>月考卷A</x:v>
      </x:c>
      <x:c r="H66" s="34" t="str">
        <x:v>早期移民稱呼的「黑水溝」，是指哪兩地之間的水域？</x:v>
      </x:c>
      <x:c r="I66" s="34" t="str">
        <x:v>龜山島與臺灣島</x:v>
      </x:c>
      <x:c r="J66" s="34" t="str">
        <x:v>金門與廈門</x:v>
      </x:c>
      <x:c r="K66" s="34" t="str">
        <x:v>澎湖與臺灣島</x:v>
      </x:c>
      <x:c r="L66" s="34" t="str">
        <x:v>綠島與蘭嶼</x:v>
      </x:c>
      <x:c r="M66" s="34" t="str">
        <x:v>C</x:v>
      </x:c>
      <x:c r="N66" s="34" t="str">
        <x:v>澎湖與臺灣島</x:v>
      </x:c>
      <x:c r="O66" s="34" t="str">
        <x:v>抓住題幹的關鍵詞，再比較每個選項和課本內容是否相符。</x:v>
      </x:c>
      <x:c r="P66" s="34" t="str">
        <x:v>依課本內容，這題應選「澎湖與臺灣島」。早期漢人渡過臺灣海峽來臺，航程受到季風、海象與船隻條件影響；『黑水溝』常指澎湖與臺灣島間的危險水域。</x:v>
      </x:c>
      <x:c r="Q66" s="34" t="str">
        <x:v>先不要選「龜山島與臺灣島」。把人物、地點或概念重新配對後，應是「澎湖與臺灣島」。早期漢人渡過臺灣海峽來臺，航程受到季風、海象與船隻條件影響；『黑水溝』常指澎湖與臺灣島間的危險水域。</x:v>
      </x:c>
      <x:c r="R66" s="34" t="str">
        <x:v>「金門與廈門」是干擾資料，和本題線索對不上；請改從「澎湖與臺灣島」思考。早期漢人渡過臺灣海峽來臺，航程受到季風、海象與船隻條件影響；『黑水溝』常指澎湖與臺灣島間的危險水域。</x:v>
      </x:c>
      <x:c r="S66" s="34" t="str">
        <x:v>判斷正確！你找到了「澎湖與臺灣島」這個關鍵。早期漢人渡過臺灣海峽來臺，航程受到季風、海象與船隻條件影響；『黑水溝』常指澎湖與臺灣島間的危險水域。</x:v>
      </x:c>
      <x:c r="T66" s="34" t="str">
        <x:v>選項「綠島與蘭嶼」混入了不同背景的資料。回看題幹，應選「澎湖與臺灣島」。早期漢人渡過臺灣海峽來臺，航程受到季風、海象與船隻條件影響；『黑水溝』常指澎湖與臺灣島間的危險水域。</x:v>
      </x:c>
      <x:c r="U66" s="34" t="str">
        <x:v>題幹條件配對錯誤</x:v>
      </x:c>
      <x:c r="V66" s="34" t="str">
        <x:v>題幹條件配對錯誤</x:v>
      </x:c>
      <x:c r="W66" s="34" t="str">
        <x:v>判斷正確</x:v>
      </x:c>
      <x:c r="X66" s="34" t="str">
        <x:v>題幹條件配對錯誤</x:v>
      </x:c>
      <x:c r="Y66" s="34" t="str">
        <x:v>早期漢人渡過臺灣海峽來臺，航程受到季風、海象與船隻條件影響；『黑水溝』常指澎湖與臺灣島間的危險水域。</x:v>
      </x:c>
      <x:c r="Z66" s="34" t="str">
        <x:v>這題要比較發電方式的條件、限制與對居民或環境的影響。</x:v>
      </x:c>
      <x:c r="AA66" s="34" t="str">
        <x:v>水力發電利用水流，但會受降雨與水量影響，興建設施也可能改變河川環境。</x:v>
      </x:c>
      <x:c r="AB66" s="34" t="str">
        <x:v>A</x:v>
      </x:c>
      <x:c r="AC66" s="34" t="str">
        <x:v>這項說明能直接支持「澎湖與臺灣島」，也補上題目背後的課本知識。</x:v>
      </x:c>
      <x:c r="AD66" s="34" t="str">
        <x:v>這項知識本身可能正確，但屬於其他單元，不能用來證明本題答案。</x:v>
      </x:c>
      <x:c r="AE66" s="34" t="str">
        <x:v>這段資料談的是另一個主題，和目前題幹缺少直接關係。</x:v>
      </x:c>
      <x:c r="AF66" s="34" t="str">
        <x:v>回到課本地圖、時間線或表格，找出能再次驗證這個答案的資料。</x:v>
      </x:c>
      <x:c r="AG66" s="34" t="str">
        <x:v>月考卷A</x:v>
      </x:c>
      <x:c r="AH66" s="34" t="str">
        <x:v>A01_5下社會月考卷_第一單元_教用_.pdf</x:v>
      </x:c>
      <x:c r="AI66" s="34" t="n">
        <x:v>1</x:v>
      </x:c>
    </x:row>
    <x:row r="67" ht="76" customHeight="1">
      <x:c r="A67" s="34" t="str">
        <x:v>5B-U1</x:v>
      </x:c>
      <x:c r="B67" s="34" t="str">
        <x:v>五下</x:v>
      </x:c>
      <x:c r="C67" s="34" t="n">
        <x:v>1</x:v>
      </x:c>
      <x:c r="D67" s="34" t="str">
        <x:v>唐山到臺灣</x:v>
      </x:c>
      <x:c r="E67" s="34" t="str">
        <x:v>5B-U1-PAPER</x:v>
      </x:c>
      <x:c r="F67" s="34" t="n">
        <x:v>3</x:v>
      </x:c>
      <x:c r="G67" s="34" t="str">
        <x:v>月考卷B</x:v>
      </x:c>
      <x:c r="H67" s="34" t="str">
        <x:v>清帝國時期臺灣三大水圳之一的曹公圳，坐落於下列哪個地區？</x:v>
      </x:c>
      <x:c r="I67" s="34" t="str">
        <x:v>北部地區</x:v>
      </x:c>
      <x:c r="J67" s="34" t="str">
        <x:v>南部地區</x:v>
      </x:c>
      <x:c r="K67" s="34" t="str">
        <x:v>中部地區</x:v>
      </x:c>
      <x:c r="L67" s="34" t="str">
        <x:v>東部地區</x:v>
      </x:c>
      <x:c r="M67" s="34" t="str">
        <x:v>B</x:v>
      </x:c>
      <x:c r="N67" s="34" t="str">
        <x:v>南部地區</x:v>
      </x:c>
      <x:c r="O67" s="34" t="str">
        <x:v>先找題幹的方向或地點線索，再和課本地圖對照。</x:v>
      </x:c>
      <x:c r="P67" s="34" t="str">
        <x:v>把題幹線索和課本資料對照，可找到「南部地區」。清代開墾需要穩定水源，因此各地興建水圳並建立分水、維修規則；瑠公圳位於北部。</x:v>
      </x:c>
      <x:c r="Q67" s="34" t="str">
        <x:v>「北部地區」是干擾資料，和本題線索對不上；請改從「南部地區」思考。清代開墾需要穩定水源，因此各地興建水圳並建立分水、維修規則；瑠公圳位於北部。</x:v>
      </x:c>
      <x:c r="R67" s="34" t="str">
        <x:v>沒錯，課本中的相關資料支持「南部地區」。清代開墾需要穩定水源，因此各地興建水圳並建立分水、維修規則；瑠公圳位於北部。</x:v>
      </x:c>
      <x:c r="S67" s="34" t="str">
        <x:v>選項「中部地區」混入了不同背景的資料。回看題幹，應選「南部地區」。清代開墾需要穩定水源，因此各地興建水圳並建立分水、維修規則；瑠公圳位於北部。</x:v>
      </x:c>
      <x:c r="T67" s="34" t="str">
        <x:v>「東部地區」沒有符合題幹限定的條件。正確方向是「南部地區」；清代開墾需要穩定水源，因此各地興建水圳並建立分水、維修規則；瑠公圳位於北部。</x:v>
      </x:c>
      <x:c r="U67" s="34" t="str">
        <x:v>題幹條件配對錯誤</x:v>
      </x:c>
      <x:c r="V67" s="34" t="str">
        <x:v>判斷正確</x:v>
      </x:c>
      <x:c r="W67" s="34" t="str">
        <x:v>題幹條件配對錯誤</x:v>
      </x:c>
      <x:c r="X67" s="34" t="str">
        <x:v>題幹條件配對錯誤</x:v>
      </x:c>
      <x:c r="Y67" s="34" t="str">
        <x:v>清代開墾需要穩定水源，因此各地興建水圳並建立分水、維修規則；瑠公圳位於北部。</x:v>
      </x:c>
      <x:c r="Z67" s="34" t="str">
        <x:v>循環經濟重視減少廢棄、延長物品使用時間並回收再利用，目標是降低資源消耗與污染。</x:v>
      </x:c>
      <x:c r="AA67" s="34" t="str">
        <x:v>可疑中獎、轉帳或假包裹訊息可能是詐騙；不要急著付款，應利用 165 等正式管道查證。</x:v>
      </x:c>
      <x:c r="AB67" s="34" t="str">
        <x:v>A</x:v>
      </x:c>
      <x:c r="AC67" s="34" t="str">
        <x:v>這項說明能直接支持「南部地區」，也補上題目背後的課本知識。</x:v>
      </x:c>
      <x:c r="AD67" s="34" t="str">
        <x:v>這項知識本身可能正確，但屬於其他單元，不能用來證明本題答案。</x:v>
      </x:c>
      <x:c r="AE67" s="34" t="str">
        <x:v>這段資料談的是另一個主題，和目前題幹缺少直接關係。</x:v>
      </x:c>
      <x:c r="AF67" s="34" t="str">
        <x:v>回到課本地圖、時間線或表格，找出能再次驗證這個答案的資料。</x:v>
      </x:c>
      <x:c r="AG67" s="34" t="str">
        <x:v>月考卷B</x:v>
      </x:c>
      <x:c r="AH67" s="34" t="str">
        <x:v>B01_5下社會月考卷_第一單元_教用_.pdf</x:v>
      </x:c>
      <x:c r="AI67" s="34" t="n">
        <x:v>2</x:v>
      </x:c>
    </x:row>
    <x:row r="68" ht="76" customHeight="1">
      <x:c r="A68" s="34" t="str">
        <x:v>5B-U1</x:v>
      </x:c>
      <x:c r="B68" s="34" t="str">
        <x:v>五下</x:v>
      </x:c>
      <x:c r="C68" s="34" t="n">
        <x:v>1</x:v>
      </x:c>
      <x:c r="D68" s="34" t="str">
        <x:v>唐山到臺灣</x:v>
      </x:c>
      <x:c r="E68" s="34" t="str">
        <x:v>5B-U1-PAPER</x:v>
      </x:c>
      <x:c r="F68" s="34" t="n">
        <x:v>4</x:v>
      </x:c>
      <x:c r="G68" s="34" t="str">
        <x:v>隨堂卷</x:v>
      </x:c>
      <x:c r="H68" s="34" t="str">
        <x:v>下列哪個不是造成清帝國時期，平埔族群文化快速流失的原因？</x:v>
      </x:c>
      <x:c r="I68" s="34" t="str">
        <x:v>漢人文化逐漸盛行</x:v>
      </x:c>
      <x:c r="J68" s="34" t="str">
        <x:v>清帝國鼓勵平埔族群讀漢文</x:v>
      </x:c>
      <x:c r="K68" s="34" t="str">
        <x:v>無人傳承</x:v>
      </x:c>
      <x:c r="L68" s="34" t="str">
        <x:v>清帝國鼓勵使用漢姓</x:v>
      </x:c>
      <x:c r="M68" s="34" t="str">
        <x:v>C</x:v>
      </x:c>
      <x:c r="N68" s="34" t="str">
        <x:v>無人傳承</x:v>
      </x:c>
      <x:c r="O68" s="34" t="str">
        <x:v>先圈出題幹中的否定詞，再逐一檢查四個選項。</x:v>
      </x:c>
      <x:c r="P68" s="34" t="str">
        <x:v>「無人傳承」最符合題目所問的時間、地點或概念。這題要從清代移民、開墾、族群互動與地方生活的背景判斷。</x:v>
      </x:c>
      <x:c r="Q68" s="34" t="str">
        <x:v>這題不是在找「漢人文化逐漸盛行」。對照課本後，「無人傳承」才符合題意。這題要從清代移民、開墾、族群互動與地方生活的背景判斷。</x:v>
      </x:c>
      <x:c r="R68" s="34" t="str">
        <x:v>選項「清帝國鼓勵平埔族群讀漢文」混入了不同背景的資料。回看題幹，應選「無人傳承」。這題要從清代移民、開墾、族群互動與地方生活的背景判斷。</x:v>
      </x:c>
      <x:c r="S68" s="34" t="str">
        <x:v>這項選擇成立；「無人傳承」符合題目要求。這題要從清代移民、開墾、族群互動與地方生活的背景判斷。</x:v>
      </x:c>
      <x:c r="T68" s="34" t="str">
        <x:v>先不要選「清帝國鼓勵使用漢姓」。把人物、地點或概念重新配對後，應是「無人傳承」。這題要從清代移民、開墾、族群互動與地方生活的背景判斷。</x:v>
      </x:c>
      <x:c r="U68" s="34" t="str">
        <x:v>題幹條件配對錯誤</x:v>
      </x:c>
      <x:c r="V68" s="34" t="str">
        <x:v>題幹條件配對錯誤</x:v>
      </x:c>
      <x:c r="W68" s="34" t="str">
        <x:v>判斷正確</x:v>
      </x:c>
      <x:c r="X68" s="34" t="str">
        <x:v>題幹條件配對錯誤</x:v>
      </x:c>
      <x:c r="Y68" s="34" t="str">
        <x:v>這題要從清代移民、開墾、族群互動與地方生活的背景判斷。</x:v>
      </x:c>
      <x:c r="Z68" s="34" t="str">
        <x:v>消費會受到需求、價格、品質、廣告與同儕流行等因素影響，仍應先判斷是否真正需要。</x:v>
      </x:c>
      <x:c r="AA68" s="34" t="str">
        <x:v>投資報酬並不保證，風險是結果可能獲利也可能虧損；選擇前要評估自己能承受的損失。</x:v>
      </x:c>
      <x:c r="AB68" s="34" t="str">
        <x:v>A</x:v>
      </x:c>
      <x:c r="AC68" s="34" t="str">
        <x:v>這項說明能直接支持「無人傳承」，也補上題目背後的課本知識。</x:v>
      </x:c>
      <x:c r="AD68" s="34" t="str">
        <x:v>這項知識本身可能正確，但屬於其他單元，不能用來證明本題答案。</x:v>
      </x:c>
      <x:c r="AE68" s="34" t="str">
        <x:v>這段資料談的是另一個主題，和目前題幹缺少直接關係。</x:v>
      </x:c>
      <x:c r="AF68" s="34" t="str">
        <x:v>回到課本地圖、時間線或表格，找出能再次驗證這個答案的資料。</x:v>
      </x:c>
      <x:c r="AG68" s="34" t="str">
        <x:v>隨堂卷</x:v>
      </x:c>
      <x:c r="AH68" s="34" t="str">
        <x:v>01_5下社會隨堂卷_第一單元唐山到臺灣_教用.pdf</x:v>
      </x:c>
      <x:c r="AI68" s="34" t="n">
        <x:v>2</x:v>
      </x:c>
    </x:row>
    <x:row r="69" ht="76" customHeight="1">
      <x:c r="A69" s="34" t="str">
        <x:v>5B-U1</x:v>
      </x:c>
      <x:c r="B69" s="34" t="str">
        <x:v>五下</x:v>
      </x:c>
      <x:c r="C69" s="34" t="n">
        <x:v>1</x:v>
      </x:c>
      <x:c r="D69" s="34" t="str">
        <x:v>唐山到臺灣</x:v>
      </x:c>
      <x:c r="E69" s="34" t="str">
        <x:v>5B-U1-PAPER</x:v>
      </x:c>
      <x:c r="F69" s="34" t="n">
        <x:v>5</x:v>
      </x:c>
      <x:c r="G69" s="34" t="str">
        <x:v>月考卷A</x:v>
      </x:c>
      <x:c r="H69" s="34" t="str">
        <x:v>臺灣番界圖繪製的紅線及藍線，是為了限制什麼範圍？</x:v>
      </x:c>
      <x:c r="I69" s="34" t="str">
        <x:v>水利設施的灌溉範圍</x:v>
      </x:c>
      <x:c r="J69" s="34" t="str">
        <x:v>漢人移民開墾的範圍</x:v>
      </x:c>
      <x:c r="K69" s="34" t="str">
        <x:v>外國商人在臺灣的活動範圍</x:v>
      </x:c>
      <x:c r="L69" s="34" t="str">
        <x:v>漢人與外國商人進行貿易活動的範圍</x:v>
      </x:c>
      <x:c r="M69" s="34" t="str">
        <x:v>B</x:v>
      </x:c>
      <x:c r="N69" s="34" t="str">
        <x:v>漢人移民開墾的範圍</x:v>
      </x:c>
      <x:c r="O69" s="34" t="str">
        <x:v>抓住題幹的關鍵詞，再比較每個選項和課本內容是否相符。</x:v>
      </x:c>
      <x:c r="P69" s="34" t="str">
        <x:v>判斷重點不在字數，而在內容是否符合課本；答案是「漢人移民開墾的範圍」。早期漢人渡過臺灣海峽來臺，航程受到季風、海象與船隻條件影響；『黑水溝』常指澎湖與臺灣島間的危險水域。</x:v>
      </x:c>
      <x:c r="Q69" s="34" t="str">
        <x:v>選項「水利設施的灌溉範圍」混入了不同背景的資料。回看題幹，應選「漢人移民開墾的範圍」。早期漢人渡過臺灣海峽來臺，航程受到季風、海象與船隻條件影響；『黑水溝』常指澎湖與臺灣島間的危險水域。</x:v>
      </x:c>
      <x:c r="R69" s="34" t="str">
        <x:v>答對了，「漢人移民開墾的範圍」和題幹線索相符。早期漢人渡過臺灣海峽來臺，航程受到季風、海象與船隻條件影響；『黑水溝』常指澎湖與臺灣島間的危險水域。</x:v>
      </x:c>
      <x:c r="S69" s="34" t="str">
        <x:v>先不要選「外國商人在臺灣的活動範圍」。把人物、地點或概念重新配對後，應是「漢人移民開墾的範圍」。早期漢人渡過臺灣海峽來臺，航程受到季風、海象與船隻條件影響；『黑水溝』常指澎湖與臺灣島間的危險水域。</x:v>
      </x:c>
      <x:c r="T69" s="34" t="str">
        <x:v>「漢人與外國商人進行貿易活動的範圍」是干擾資料，和本題線索對不上；請改從「漢人移民開墾的範圍」思考。早期漢人渡過臺灣海峽來臺，航程受到季風、海象與船隻條件影響；『黑水溝』常指澎湖與臺灣島間的危險水域。</x:v>
      </x:c>
      <x:c r="U69" s="34" t="str">
        <x:v>題幹條件配對錯誤</x:v>
      </x:c>
      <x:c r="V69" s="34" t="str">
        <x:v>判斷正確</x:v>
      </x:c>
      <x:c r="W69" s="34" t="str">
        <x:v>題幹條件配對錯誤</x:v>
      </x:c>
      <x:c r="X69" s="34" t="str">
        <x:v>題幹條件配對錯誤</x:v>
      </x:c>
      <x:c r="Y69" s="34" t="str">
        <x:v>早期漢人渡過臺灣海峽來臺，航程受到季風、海象與船隻條件影響；『黑水溝』常指澎湖與臺灣島間的危險水域。</x:v>
      </x:c>
      <x:c r="Z69" s="34" t="str">
        <x:v>這題要從消費權益、詐騙風險、理財或循環利用的角度判斷。</x:v>
      </x:c>
      <x:c r="AA69" s="34" t="str">
        <x:v>臺灣位在歐亞板塊與菲律賓海板塊交界附近，板塊推擠形成多山地形，也使地震頻繁。</x:v>
      </x:c>
      <x:c r="AB69" s="34" t="str">
        <x:v>A</x:v>
      </x:c>
      <x:c r="AC69" s="34" t="str">
        <x:v>這項說明能直接支持「漢人移民開墾的範圍」，也補上題目背後的課本知識。</x:v>
      </x:c>
      <x:c r="AD69" s="34" t="str">
        <x:v>這項知識本身可能正確，但屬於其他單元，不能用來證明本題答案。</x:v>
      </x:c>
      <x:c r="AE69" s="34" t="str">
        <x:v>這段資料談的是另一個主題，和目前題幹缺少直接關係。</x:v>
      </x:c>
      <x:c r="AF69" s="34" t="str">
        <x:v>回到課本地圖、時間線或表格，找出能再次驗證這個答案的資料。</x:v>
      </x:c>
      <x:c r="AG69" s="34" t="str">
        <x:v>月考卷A</x:v>
      </x:c>
      <x:c r="AH69" s="34" t="str">
        <x:v>A01_5下社會月考卷_第一單元_教用_.pdf</x:v>
      </x:c>
      <x:c r="AI69" s="34" t="n">
        <x:v>2</x:v>
      </x:c>
    </x:row>
    <x:row r="70" ht="76" customHeight="1">
      <x:c r="A70" s="34" t="str">
        <x:v>5B-U1</x:v>
      </x:c>
      <x:c r="B70" s="34" t="str">
        <x:v>五下</x:v>
      </x:c>
      <x:c r="C70" s="34" t="n">
        <x:v>1</x:v>
      </x:c>
      <x:c r="D70" s="34" t="str">
        <x:v>唐山到臺灣</x:v>
      </x:c>
      <x:c r="E70" s="34" t="str">
        <x:v>5B-U1-PAPER</x:v>
      </x:c>
      <x:c r="F70" s="34" t="n">
        <x:v>6</x:v>
      </x:c>
      <x:c r="G70" s="34" t="str">
        <x:v>月考卷B</x:v>
      </x:c>
      <x:c r="H70" s="34" t="str">
        <x:v>新竹因為哪種氣候或地形特色，發展出興盛的米粉產業？</x:v>
      </x:c>
      <x:c r="I70" s="34" t="str">
        <x:v>位於東北季風的背風側</x:v>
      </x:c>
      <x:c r="J70" s="34" t="str">
        <x:v>年平均雨量豐沛</x:v>
      </x:c>
      <x:c r="K70" s="34" t="str">
        <x:v>夏季雨量多</x:v>
      </x:c>
      <x:c r="L70" s="34" t="str">
        <x:v>年平均日照時數短</x:v>
      </x:c>
      <x:c r="M70" s="34" t="str">
        <x:v>A</x:v>
      </x:c>
      <x:c r="N70" s="34" t="str">
        <x:v>位於東北季風的背風側</x:v>
      </x:c>
      <x:c r="O70" s="34" t="str">
        <x:v>抓住題幹的關鍵詞，再比較每個選項和課本內容是否相符。</x:v>
      </x:c>
      <x:c r="P70" s="34" t="str">
        <x:v>關鍵答案是「位於東北季風的背風側」。臺灣南部乾季明顯、日照充足，沿海平坦，因此適合發展晒鹽等產業。</x:v>
      </x:c>
      <x:c r="Q70" s="34" t="str">
        <x:v>判斷正確！你找到了「位於東北季風的背風側」這個關鍵。臺灣南部乾季明顯、日照充足，沿海平坦，因此適合發展晒鹽等產業。</x:v>
      </x:c>
      <x:c r="R70" s="34" t="str">
        <x:v>先不要選「年平均雨量豐沛」。把人物、地點或概念重新配對後，應是「位於東北季風的背風側」。臺灣南部乾季明顯、日照充足，沿海平坦，因此適合發展晒鹽等產業。</x:v>
      </x:c>
      <x:c r="S70" s="34" t="str">
        <x:v>「夏季雨量多」是干擾資料，和本題線索對不上；請改從「位於東北季風的背風側」思考。臺灣南部乾季明顯、日照充足，沿海平坦，因此適合發展晒鹽等產業。</x:v>
      </x:c>
      <x:c r="T70" s="34" t="str">
        <x:v>這題不是在找「年平均日照時數短」。對照課本後，「位於東北季風的背風側」才符合題意。臺灣南部乾季明顯、日照充足，沿海平坦，因此適合發展晒鹽等產業。</x:v>
      </x:c>
      <x:c r="U70" s="34" t="str">
        <x:v>判斷正確</x:v>
      </x:c>
      <x:c r="V70" s="34" t="str">
        <x:v>題幹條件配對錯誤</x:v>
      </x:c>
      <x:c r="W70" s="34" t="str">
        <x:v>題幹條件配對錯誤</x:v>
      </x:c>
      <x:c r="X70" s="34" t="str">
        <x:v>題幹條件配對錯誤</x:v>
      </x:c>
      <x:c r="Y70" s="34" t="str">
        <x:v>臺灣南部乾季明顯、日照充足，沿海平坦，因此適合發展晒鹽等產業。</x:v>
      </x:c>
      <x:c r="Z70" s="34" t="str">
        <x:v>臺灣東部多陡峭斷崖、西部多平直沙岸、北部多岬灣，南部則可見珊瑚礁海岸；高雄港利用潟湖地形發展。</x:v>
      </x:c>
      <x:c r="AA70" s="34" t="str">
        <x:v>漢本遺址出土外來玻璃飾品等物件，可作為史前人群透過海上交易取得物品的證據。</x:v>
      </x:c>
      <x:c r="AB70" s="34" t="str">
        <x:v>A</x:v>
      </x:c>
      <x:c r="AC70" s="34" t="str">
        <x:v>這項說明能直接支持「位於東北季風的背風側」，也補上題目背後的課本知識。</x:v>
      </x:c>
      <x:c r="AD70" s="34" t="str">
        <x:v>這項知識本身可能正確，但屬於其他單元，不能用來證明本題答案。</x:v>
      </x:c>
      <x:c r="AE70" s="34" t="str">
        <x:v>這段資料談的是另一個主題，和目前題幹缺少直接關係。</x:v>
      </x:c>
      <x:c r="AF70" s="34" t="str">
        <x:v>回到課本地圖、時間線或表格，找出能再次驗證這個答案的資料。</x:v>
      </x:c>
      <x:c r="AG70" s="34" t="str">
        <x:v>月考卷B</x:v>
      </x:c>
      <x:c r="AH70" s="34" t="str">
        <x:v>B01_5下社會月考卷_第一單元_教用_.pdf</x:v>
      </x:c>
      <x:c r="AI70" s="34" t="n">
        <x:v>3</x:v>
      </x:c>
    </x:row>
    <x:row r="71" ht="76" customHeight="1">
      <x:c r="A71" s="34" t="str">
        <x:v>5B-U1</x:v>
      </x:c>
      <x:c r="B71" s="34" t="str">
        <x:v>五下</x:v>
      </x:c>
      <x:c r="C71" s="34" t="n">
        <x:v>1</x:v>
      </x:c>
      <x:c r="D71" s="34" t="str">
        <x:v>唐山到臺灣</x:v>
      </x:c>
      <x:c r="E71" s="34" t="str">
        <x:v>5B-U1-PAPER</x:v>
      </x:c>
      <x:c r="F71" s="34" t="n">
        <x:v>7</x:v>
      </x:c>
      <x:c r="G71" s="34" t="str">
        <x:v>隨堂卷</x:v>
      </x:c>
      <x:c r="H71" s="34" t="str">
        <x:v>阿哲生活在清帝國時期，下列哪個較不可能是他的學習情形？</x:v>
      </x:c>
      <x:c r="I71" s="34" t="str">
        <x:v>到外語學校學習英文</x:v>
      </x:c>
      <x:c r="J71" s="34" t="str">
        <x:v>到私塾學習認字</x:v>
      </x:c>
      <x:c r="K71" s="34" t="str">
        <x:v>到書院學習儒家經典</x:v>
      </x:c>
      <x:c r="L71" s="34" t="str">
        <x:v>參加科舉考試</x:v>
      </x:c>
      <x:c r="M71" s="34" t="str">
        <x:v>A</x:v>
      </x:c>
      <x:c r="N71" s="34" t="str">
        <x:v>到外語學校學習英文</x:v>
      </x:c>
      <x:c r="O71" s="34" t="str">
        <x:v>抓住題幹的關鍵詞，再比較每個選項和課本內容是否相符。</x:v>
      </x:c>
      <x:c r="P71" s="34" t="str">
        <x:v>依課本內容，這題應選「到外語學校學習英文」。這題要從清代移民、開墾、族群互動與地方生活的背景判斷。</x:v>
      </x:c>
      <x:c r="Q71" s="34" t="str">
        <x:v>沒錯，課本中的相關資料支持「到外語學校學習英文」。這題要從清代移民、開墾、族群互動與地方生活的背景判斷。</x:v>
      </x:c>
      <x:c r="R71" s="34" t="str">
        <x:v>「到私塾學習認字」是干擾資料，和本題線索對不上；請改從「到外語學校學習英文」思考。這題要從清代移民、開墾、族群互動與地方生活的背景判斷。</x:v>
      </x:c>
      <x:c r="S71" s="34" t="str">
        <x:v>這題不是在找「到書院學習儒家經典」。對照課本後，「到外語學校學習英文」才符合題意。這題要從清代移民、開墾、族群互動與地方生活的背景判斷。</x:v>
      </x:c>
      <x:c r="T71" s="34" t="str">
        <x:v>選項「參加科舉考試」混入了不同背景的資料。回看題幹，應選「到外語學校學習英文」。這題要從清代移民、開墾、族群互動與地方生活的背景判斷。</x:v>
      </x:c>
      <x:c r="U71" s="34" t="str">
        <x:v>判斷正確</x:v>
      </x:c>
      <x:c r="V71" s="34" t="str">
        <x:v>題幹條件配對錯誤</x:v>
      </x:c>
      <x:c r="W71" s="34" t="str">
        <x:v>題幹條件配對錯誤</x:v>
      </x:c>
      <x:c r="X71" s="34" t="str">
        <x:v>題幹條件配對錯誤</x:v>
      </x:c>
      <x:c r="Y71" s="34" t="str">
        <x:v>這題要從清代移民、開墾、族群互動與地方生活的背景判斷。</x:v>
      </x:c>
      <x:c r="Z71" s="34" t="str">
        <x:v>八仙洞遺址可見舊石器時代的生活線索，當時人們主要採集、狩獵，尚未發展農耕定居。</x:v>
      </x:c>
      <x:c r="AA71" s="34" t="str">
        <x:v>法律由國家制定並具有強制力，可維持秩序、保障權利；少年事件處理法重視未成年人的健全成長。</x:v>
      </x:c>
      <x:c r="AB71" s="34" t="str">
        <x:v>A</x:v>
      </x:c>
      <x:c r="AC71" s="34" t="str">
        <x:v>這項說明能直接支持「到外語學校學習英文」，也補上題目背後的課本知識。</x:v>
      </x:c>
      <x:c r="AD71" s="34" t="str">
        <x:v>這項知識本身可能正確，但屬於其他單元，不能用來證明本題答案。</x:v>
      </x:c>
      <x:c r="AE71" s="34" t="str">
        <x:v>這段資料談的是另一個主題，和目前題幹缺少直接關係。</x:v>
      </x:c>
      <x:c r="AF71" s="34" t="str">
        <x:v>回到課本地圖、時間線或表格，找出能再次驗證這個答案的資料。</x:v>
      </x:c>
      <x:c r="AG71" s="34" t="str">
        <x:v>隨堂卷</x:v>
      </x:c>
      <x:c r="AH71" s="34" t="str">
        <x:v>01_5下社會隨堂卷_第一單元唐山到臺灣_教用.pdf</x:v>
      </x:c>
      <x:c r="AI71" s="34" t="n">
        <x:v>3</x:v>
      </x:c>
    </x:row>
    <x:row r="72" ht="76" customHeight="1">
      <x:c r="A72" s="34" t="str">
        <x:v>5B-U1</x:v>
      </x:c>
      <x:c r="B72" s="34" t="str">
        <x:v>五下</x:v>
      </x:c>
      <x:c r="C72" s="34" t="n">
        <x:v>1</x:v>
      </x:c>
      <x:c r="D72" s="34" t="str">
        <x:v>唐山到臺灣</x:v>
      </x:c>
      <x:c r="E72" s="34" t="str">
        <x:v>5B-U1-PAPER</x:v>
      </x:c>
      <x:c r="F72" s="34" t="n">
        <x:v>8</x:v>
      </x:c>
      <x:c r="G72" s="34" t="str">
        <x:v>月考卷A</x:v>
      </x:c>
      <x:c r="H72" s="34" t="str">
        <x:v>清帝國時期，臺灣的「一府、二鹿、三艋舺」，不包含現在的哪一個地區？</x:v>
      </x:c>
      <x:c r="I72" s="34" t="str">
        <x:v>高雄市內門區</x:v>
      </x:c>
      <x:c r="J72" s="34" t="str">
        <x:v>臺南市中西區</x:v>
      </x:c>
      <x:c r="K72" s="34" t="str">
        <x:v>臺北市萬華區</x:v>
      </x:c>
      <x:c r="L72" s="34" t="str">
        <x:v>彰化縣鹿港鎮</x:v>
      </x:c>
      <x:c r="M72" s="34" t="str">
        <x:v>A</x:v>
      </x:c>
      <x:c r="N72" s="34" t="str">
        <x:v>高雄市內門區</x:v>
      </x:c>
      <x:c r="O72" s="34" t="str">
        <x:v>先找題幹的方向或地點線索，再和課本地圖對照。</x:v>
      </x:c>
      <x:c r="P72" s="34" t="str">
        <x:v>把題幹線索和課本資料對照，可找到「高雄市內門區」。這題要從清代移民、開墾、族群互動與地方生活的背景判斷。</x:v>
      </x:c>
      <x:c r="Q72" s="34" t="str">
        <x:v>這項選擇成立；「高雄市內門區」符合題目要求。這題要從清代移民、開墾、族群互動與地方生活的背景判斷。</x:v>
      </x:c>
      <x:c r="R72" s="34" t="str">
        <x:v>這題不是在找「臺南市中西區」。對照課本後，「高雄市內門區」才符合題意。這題要從清代移民、開墾、族群互動與地方生活的背景判斷。</x:v>
      </x:c>
      <x:c r="S72" s="34" t="str">
        <x:v>選項「臺北市萬華區」混入了不同背景的資料。回看題幹，應選「高雄市內門區」。這題要從清代移民、開墾、族群互動與地方生活的背景判斷。</x:v>
      </x:c>
      <x:c r="T72" s="34" t="str">
        <x:v>「彰化縣鹿港鎮」沒有符合題幹限定的條件。正確方向是「高雄市內門區」；這題要從清代移民、開墾、族群互動與地方生活的背景判斷。</x:v>
      </x:c>
      <x:c r="U72" s="34" t="str">
        <x:v>判斷正確</x:v>
      </x:c>
      <x:c r="V72" s="34" t="str">
        <x:v>題幹條件配對錯誤</x:v>
      </x:c>
      <x:c r="W72" s="34" t="str">
        <x:v>題幹條件配對錯誤</x:v>
      </x:c>
      <x:c r="X72" s="34" t="str">
        <x:v>題幹條件配對錯誤</x:v>
      </x:c>
      <x:c r="Y72" s="34" t="str">
        <x:v>這題要從清代移民、開墾、族群互動與地方生活的背景判斷。</x:v>
      </x:c>
      <x:c r="Z72" s="34" t="str">
        <x:v>這題要分清族群文化、生活規範與法律的差異，並尊重資料所指的對象。</x:v>
      </x:c>
      <x:c r="AA72" s="34" t="str">
        <x:v>法律由國家制定並具有強制力，可維持秩序、保障權利；少年事件處理法重視未成年人的健全成長。</x:v>
      </x:c>
      <x:c r="AB72" s="34" t="str">
        <x:v>A</x:v>
      </x:c>
      <x:c r="AC72" s="34" t="str">
        <x:v>這項說明能直接支持「高雄市內門區」，也補上題目背後的課本知識。</x:v>
      </x:c>
      <x:c r="AD72" s="34" t="str">
        <x:v>這項知識本身可能正確，但屬於其他單元，不能用來證明本題答案。</x:v>
      </x:c>
      <x:c r="AE72" s="34" t="str">
        <x:v>這段資料談的是另一個主題，和目前題幹缺少直接關係。</x:v>
      </x:c>
      <x:c r="AF72" s="34" t="str">
        <x:v>回到課本地圖、時間線或表格，找出能再次驗證這個答案的資料。</x:v>
      </x:c>
      <x:c r="AG72" s="34" t="str">
        <x:v>月考卷A</x:v>
      </x:c>
      <x:c r="AH72" s="34" t="str">
        <x:v>A01_5下社會月考卷_第一單元_教用_.pdf</x:v>
      </x:c>
      <x:c r="AI72" s="34" t="n">
        <x:v>3</x:v>
      </x:c>
    </x:row>
    <x:row r="73" ht="76" customHeight="1">
      <x:c r="A73" s="34" t="str">
        <x:v>5B-U1</x:v>
      </x:c>
      <x:c r="B73" s="34" t="str">
        <x:v>五下</x:v>
      </x:c>
      <x:c r="C73" s="34" t="n">
        <x:v>1</x:v>
      </x:c>
      <x:c r="D73" s="34" t="str">
        <x:v>唐山到臺灣</x:v>
      </x:c>
      <x:c r="E73" s="34" t="str">
        <x:v>5B-U1-PAPER</x:v>
      </x:c>
      <x:c r="F73" s="34" t="n">
        <x:v>9</x:v>
      </x:c>
      <x:c r="G73" s="34" t="str">
        <x:v>月考卷B</x:v>
      </x:c>
      <x:c r="H73" s="34" t="str">
        <x:v>下列清帝國時期的建築，哪一個的建造原因與當時漢人移民間的紛爭較有關係？</x:v>
      </x:c>
      <x:c r="I73" s="34" t="str">
        <x:v>鹿港泉郊會館</x:v>
      </x:c>
      <x:c r="J73" s="34" t="str">
        <x:v>林先生廟</x:v>
      </x:c>
      <x:c r="K73" s="34" t="str">
        <x:v>芝山岩隘門</x:v>
      </x:c>
      <x:c r="L73" s="34" t="str">
        <x:v>磺溪書院</x:v>
      </x:c>
      <x:c r="M73" s="34" t="str">
        <x:v>C</x:v>
      </x:c>
      <x:c r="N73" s="34" t="str">
        <x:v>芝山岩隘門</x:v>
      </x:c>
      <x:c r="O73" s="34" t="str">
        <x:v>找出題幹中的原因與結果，檢查兩者是否能連起來。</x:v>
      </x:c>
      <x:c r="P73" s="34" t="str">
        <x:v>「芝山岩隘門」最符合題目所問的時間、地點或概念。早期漢人渡過臺灣海峽來臺，航程受到季風、海象與船隻條件影響；『黑水溝』常指澎湖與臺灣島間的危險水域。</x:v>
      </x:c>
      <x:c r="Q73" s="34" t="str">
        <x:v>這題不是在找「鹿港泉郊會館」。對照課本後，「芝山岩隘門」才符合題意。早期漢人渡過臺灣海峽來臺，航程受到季風、海象與船隻條件影響；『黑水溝』常指澎湖與臺灣島間的危險水域。</x:v>
      </x:c>
      <x:c r="R73" s="34" t="str">
        <x:v>選項「林先生廟」混入了不同背景的資料。回看題幹，應選「芝山岩隘門」。早期漢人渡過臺灣海峽來臺，航程受到季風、海象與船隻條件影響；『黑水溝』常指澎湖與臺灣島間的危險水域。</x:v>
      </x:c>
      <x:c r="S73" s="34" t="str">
        <x:v>答對了，「芝山岩隘門」和題幹線索相符。早期漢人渡過臺灣海峽來臺，航程受到季風、海象與船隻條件影響；『黑水溝』常指澎湖與臺灣島間的危險水域。</x:v>
      </x:c>
      <x:c r="T73" s="34" t="str">
        <x:v>先不要選「磺溪書院」。把人物、地點或概念重新配對後，應是「芝山岩隘門」。早期漢人渡過臺灣海峽來臺，航程受到季風、海象與船隻條件影響；『黑水溝』常指澎湖與臺灣島間的危險水域。</x:v>
      </x:c>
      <x:c r="U73" s="34" t="str">
        <x:v>題幹條件配對錯誤</x:v>
      </x:c>
      <x:c r="V73" s="34" t="str">
        <x:v>題幹條件配對錯誤</x:v>
      </x:c>
      <x:c r="W73" s="34" t="str">
        <x:v>判斷正確</x:v>
      </x:c>
      <x:c r="X73" s="34" t="str">
        <x:v>題幹條件配對錯誤</x:v>
      </x:c>
      <x:c r="Y73" s="34" t="str">
        <x:v>早期漢人渡過臺灣海峽來臺，航程受到季風、海象與船隻條件影響；『黑水溝』常指澎湖與臺灣島間的危險水域。</x:v>
      </x:c>
      <x:c r="Z73" s="34" t="str">
        <x:v>法律由國家制定並具有強制力，可維持秩序、保障權利；少年事件處理法重視未成年人的健全成長。</x:v>
      </x:c>
      <x:c r="AA73" s="34" t="str">
        <x:v>臺灣周邊海流交會，帶來多樣漁業資源；過度捕撈會使魚群減少，因此需要適當的取用與管理。</x:v>
      </x:c>
      <x:c r="AB73" s="34" t="str">
        <x:v>A</x:v>
      </x:c>
      <x:c r="AC73" s="34" t="str">
        <x:v>這項說明能直接支持「芝山岩隘門」，也補上題目背後的課本知識。</x:v>
      </x:c>
      <x:c r="AD73" s="34" t="str">
        <x:v>這項知識本身可能正確，但屬於其他單元，不能用來證明本題答案。</x:v>
      </x:c>
      <x:c r="AE73" s="34" t="str">
        <x:v>這段資料談的是另一個主題，和目前題幹缺少直接關係。</x:v>
      </x:c>
      <x:c r="AF73" s="34" t="str">
        <x:v>回到課本地圖、時間線或表格，找出能再次驗證這個答案的資料。</x:v>
      </x:c>
      <x:c r="AG73" s="34" t="str">
        <x:v>月考卷B</x:v>
      </x:c>
      <x:c r="AH73" s="34" t="str">
        <x:v>B01_5下社會月考卷_第一單元_教用_.pdf</x:v>
      </x:c>
      <x:c r="AI73" s="34" t="n">
        <x:v>4</x:v>
      </x:c>
    </x:row>
    <x:row r="74" ht="76" customHeight="1">
      <x:c r="A74" s="34" t="str">
        <x:v>5B-U1</x:v>
      </x:c>
      <x:c r="B74" s="34" t="str">
        <x:v>五下</x:v>
      </x:c>
      <x:c r="C74" s="34" t="n">
        <x:v>1</x:v>
      </x:c>
      <x:c r="D74" s="34" t="str">
        <x:v>唐山到臺灣</x:v>
      </x:c>
      <x:c r="E74" s="34" t="str">
        <x:v>5B-U1-PAPER</x:v>
      </x:c>
      <x:c r="F74" s="34" t="n">
        <x:v>10</x:v>
      </x:c>
      <x:c r="G74" s="34" t="str">
        <x:v>隨堂卷</x:v>
      </x:c>
      <x:c r="H74" s="34" t="str">
        <x:v>早期漢人移民會優先選擇哪一種地區開墾？</x:v>
      </x:c>
      <x:c r="I74" s="34" t="str">
        <x:v>人口多的地區</x:v>
      </x:c>
      <x:c r="J74" s="34" t="str">
        <x:v>風景好的地區</x:v>
      </x:c>
      <x:c r="K74" s="34" t="str">
        <x:v>地勢高的地區</x:v>
      </x:c>
      <x:c r="L74" s="34" t="str">
        <x:v>水源充足的地區</x:v>
      </x:c>
      <x:c r="M74" s="34" t="str">
        <x:v>D</x:v>
      </x:c>
      <x:c r="N74" s="34" t="str">
        <x:v>水源充足的地區</x:v>
      </x:c>
      <x:c r="O74" s="34" t="str">
        <x:v>抓住題幹的關鍵詞，再比較每個選項和課本內容是否相符。</x:v>
      </x:c>
      <x:c r="P74" s="34" t="str">
        <x:v>判斷重點不在字數，而在內容是否符合課本；答案是「水源充足的地區」。早期漢人渡過臺灣海峽來臺，航程受到季風、海象與船隻條件影響；『黑水溝』常指澎湖與臺灣島間的危險水域。</x:v>
      </x:c>
      <x:c r="Q74" s="34" t="str">
        <x:v>選項「人口多的地區」混入了不同背景的資料。回看題幹，應選「水源充足的地區」。早期漢人渡過臺灣海峽來臺，航程受到季風、海象與船隻條件影響；『黑水溝』常指澎湖與臺灣島間的危險水域。</x:v>
      </x:c>
      <x:c r="R74" s="34" t="str">
        <x:v>「風景好的地區」沒有符合題幹限定的條件。正確方向是「水源充足的地區」；早期漢人渡過臺灣海峽來臺，航程受到季風、海象與船隻條件影響；『黑水溝』常指澎湖與臺灣島間的危險水域。</x:v>
      </x:c>
      <x:c r="S74" s="34" t="str">
        <x:v>先不要選「地勢高的地區」。把人物、地點或概念重新配對後，應是「水源充足的地區」。早期漢人渡過臺灣海峽來臺，航程受到季風、海象與船隻條件影響；『黑水溝』常指澎湖與臺灣島間的危險水域。</x:v>
      </x:c>
      <x:c r="T74" s="34" t="str">
        <x:v>判斷正確！你找到了「水源充足的地區」這個關鍵。早期漢人渡過臺灣海峽來臺，航程受到季風、海象與船隻條件影響；『黑水溝』常指澎湖與臺灣島間的危險水域。</x:v>
      </x:c>
      <x:c r="U74" s="34" t="str">
        <x:v>題幹條件配對錯誤</x:v>
      </x:c>
      <x:c r="V74" s="34" t="str">
        <x:v>題幹條件配對錯誤</x:v>
      </x:c>
      <x:c r="W74" s="34" t="str">
        <x:v>題幹條件配對錯誤</x:v>
      </x:c>
      <x:c r="X74" s="34" t="str">
        <x:v>判斷正確</x:v>
      </x:c>
      <x:c r="Y74" s="34" t="str">
        <x:v>早期漢人渡過臺灣海峽來臺，航程受到季風、海象與船隻條件影響；『黑水溝』常指澎湖與臺灣島間的危險水域。</x:v>
      </x:c>
      <x:c r="Z74" s="34" t="str">
        <x:v>臺灣礦業曾帶動地方發展，但多數礦產逐漸停採；花蓮仍有大理石礦，瑞芳、九份過去則以煤或金礦聞名。</x:v>
      </x:c>
      <x:c r="AA74" s="34" t="str">
        <x:v>臺灣周邊海流交會，帶來多樣漁業資源；過度捕撈會使魚群減少，因此需要適當的取用與管理。</x:v>
      </x:c>
      <x:c r="AB74" s="34" t="str">
        <x:v>A</x:v>
      </x:c>
      <x:c r="AC74" s="34" t="str">
        <x:v>這項說明能直接支持「水源充足的地區」，也補上題目背後的課本知識。</x:v>
      </x:c>
      <x:c r="AD74" s="34" t="str">
        <x:v>這項知識本身可能正確，但屬於其他單元，不能用來證明本題答案。</x:v>
      </x:c>
      <x:c r="AE74" s="34" t="str">
        <x:v>這段資料談的是另一個主題，和目前題幹缺少直接關係。</x:v>
      </x:c>
      <x:c r="AF74" s="34" t="str">
        <x:v>回到課本地圖、時間線或表格，找出能再次驗證這個答案的資料。</x:v>
      </x:c>
      <x:c r="AG74" s="34" t="str">
        <x:v>隨堂卷</x:v>
      </x:c>
      <x:c r="AH74" s="34" t="str">
        <x:v>01_5下社會隨堂卷_第一單元唐山到臺灣_教用.pdf</x:v>
      </x:c>
      <x:c r="AI74" s="34" t="n">
        <x:v>4</x:v>
      </x:c>
    </x:row>
    <x:row r="75" ht="76" customHeight="1">
      <x:c r="A75" s="34" t="str">
        <x:v>5B-U1</x:v>
      </x:c>
      <x:c r="B75" s="34" t="str">
        <x:v>五下</x:v>
      </x:c>
      <x:c r="C75" s="34" t="n">
        <x:v>1</x:v>
      </x:c>
      <x:c r="D75" s="34" t="str">
        <x:v>唐山到臺灣</x:v>
      </x:c>
      <x:c r="E75" s="34" t="str">
        <x:v>5B-U1-PAPER</x:v>
      </x:c>
      <x:c r="F75" s="34" t="n">
        <x:v>11</x:v>
      </x:c>
      <x:c r="G75" s="34" t="str">
        <x:v>月考卷A</x:v>
      </x:c>
      <x:c r="H75" s="34" t="str">
        <x:v>下列清帝國時期的建築，哪一個的建造原因與臺灣的水利設施發展較有關係？</x:v>
      </x:c>
      <x:c r="I75" s="34" t="str">
        <x:v>林本源園邸</x:v>
      </x:c>
      <x:c r="J75" s="34" t="str">
        <x:v>林先生廟</x:v>
      </x:c>
      <x:c r="K75" s="34" t="str">
        <x:v>芝山岩隘門</x:v>
      </x:c>
      <x:c r="L75" s="34" t="str">
        <x:v>鹿港泉郊會館</x:v>
      </x:c>
      <x:c r="M75" s="34" t="str">
        <x:v>B</x:v>
      </x:c>
      <x:c r="N75" s="34" t="str">
        <x:v>林先生廟</x:v>
      </x:c>
      <x:c r="O75" s="34" t="str">
        <x:v>找出題幹中的原因與結果，檢查兩者是否能連起來。</x:v>
      </x:c>
      <x:c r="P75" s="34" t="str">
        <x:v>關鍵答案是「林先生廟」。清代移民有不同原鄉與群體，資源競爭有時引發分類械鬥；芝山岩隘門與漳、泉衝突有關。</x:v>
      </x:c>
      <x:c r="Q75" s="34" t="str">
        <x:v>「林本源園邸」沒有符合題幹限定的條件。正確方向是「林先生廟」；清代移民有不同原鄉與群體，資源競爭有時引發分類械鬥；芝山岩隘門與漳、泉衝突有關。</x:v>
      </x:c>
      <x:c r="R75" s="34" t="str">
        <x:v>沒錯，課本中的相關資料支持「林先生廟」。清代移民有不同原鄉與群體，資源競爭有時引發分類械鬥；芝山岩隘門與漳、泉衝突有關。</x:v>
      </x:c>
      <x:c r="S75" s="34" t="str">
        <x:v>「芝山岩隘門」是干擾資料，和本題線索對不上；請改從「林先生廟」思考。清代移民有不同原鄉與群體，資源競爭有時引發分類械鬥；芝山岩隘門與漳、泉衝突有關。</x:v>
      </x:c>
      <x:c r="T75" s="34" t="str">
        <x:v>這題不是在找「鹿港泉郊會館」。對照課本後，「林先生廟」才符合題意。清代移民有不同原鄉與群體，資源競爭有時引發分類械鬥；芝山岩隘門與漳、泉衝突有關。</x:v>
      </x:c>
      <x:c r="U75" s="34" t="str">
        <x:v>題幹條件配對錯誤</x:v>
      </x:c>
      <x:c r="V75" s="34" t="str">
        <x:v>判斷正確</x:v>
      </x:c>
      <x:c r="W75" s="34" t="str">
        <x:v>題幹條件配對錯誤</x:v>
      </x:c>
      <x:c r="X75" s="34" t="str">
        <x:v>題幹條件配對錯誤</x:v>
      </x:c>
      <x:c r="Y75" s="34" t="str">
        <x:v>清代移民有不同原鄉與群體，資源競爭有時引發分類械鬥；芝山岩隘門與漳、泉衝突有關。</x:v>
      </x:c>
      <x:c r="Z75" s="34" t="str">
        <x:v>資源產業轉型時，可透過生態旅遊或文化保存創造新機會，但仍須評估對地方與環境的影響。</x:v>
      </x:c>
      <x:c r="AA75" s="34" t="str">
        <x:v>臺灣周邊海流交會，帶來多樣漁業資源；過度捕撈會使魚群減少，因此需要適當的取用與管理。</x:v>
      </x:c>
      <x:c r="AB75" s="34" t="str">
        <x:v>A</x:v>
      </x:c>
      <x:c r="AC75" s="34" t="str">
        <x:v>這項說明能直接支持「林先生廟」，也補上題目背後的課本知識。</x:v>
      </x:c>
      <x:c r="AD75" s="34" t="str">
        <x:v>這項知識本身可能正確，但屬於其他單元，不能用來證明本題答案。</x:v>
      </x:c>
      <x:c r="AE75" s="34" t="str">
        <x:v>這段資料談的是另一個主題，和目前題幹缺少直接關係。</x:v>
      </x:c>
      <x:c r="AF75" s="34" t="str">
        <x:v>回到課本地圖、時間線或表格，找出能再次驗證這個答案的資料。</x:v>
      </x:c>
      <x:c r="AG75" s="34" t="str">
        <x:v>月考卷A</x:v>
      </x:c>
      <x:c r="AH75" s="34" t="str">
        <x:v>A01_5下社會月考卷_第一單元_教用_.pdf</x:v>
      </x:c>
      <x:c r="AI75" s="34" t="n">
        <x:v>5</x:v>
      </x:c>
    </x:row>
    <x:row r="76" ht="76" customHeight="1">
      <x:c r="A76" s="34" t="str">
        <x:v>5B-U1</x:v>
      </x:c>
      <x:c r="B76" s="34" t="str">
        <x:v>五下</x:v>
      </x:c>
      <x:c r="C76" s="34" t="n">
        <x:v>1</x:v>
      </x:c>
      <x:c r="D76" s="34" t="str">
        <x:v>唐山到臺灣</x:v>
      </x:c>
      <x:c r="E76" s="34" t="str">
        <x:v>5B-U1-PAPER</x:v>
      </x:c>
      <x:c r="F76" s="34" t="n">
        <x:v>12</x:v>
      </x:c>
      <x:c r="G76" s="34" t="str">
        <x:v>月考卷B</x:v>
      </x:c>
      <x:c r="H76" s="34" t="str">
        <x:v>清帝國時期，臺灣因為發展貿易而出現許多港口城市，下列哪項不是當時臺灣對外出口的商品？</x:v>
      </x:c>
      <x:c r="I76" s="34" t="str">
        <x:v>稻米</x:v>
      </x:c>
      <x:c r="J76" s="34" t="str">
        <x:v>蔗糖</x:v>
      </x:c>
      <x:c r="K76" s="34" t="str">
        <x:v>金</x:v>
      </x:c>
      <x:c r="L76" s="34" t="str">
        <x:v>鹿皮</x:v>
      </x:c>
      <x:c r="M76" s="34" t="str">
        <x:v>C</x:v>
      </x:c>
      <x:c r="N76" s="34" t="str">
        <x:v>金</x:v>
      </x:c>
      <x:c r="O76" s="34" t="str">
        <x:v>先圈出題幹中的否定詞，再逐一檢查四個選項。</x:v>
      </x:c>
      <x:c r="P76" s="34" t="str">
        <x:v>依課本內容，這題應選「金」。這題要從清代移民、開墾、族群互動與地方生活的背景判斷。</x:v>
      </x:c>
      <x:c r="Q76" s="34" t="str">
        <x:v>先不要選「稻米」。把人物、地點或概念重新配對後，應是「金」。這題要從清代移民、開墾、族群互動與地方生活的背景判斷。</x:v>
      </x:c>
      <x:c r="R76" s="34" t="str">
        <x:v>「蔗糖」是干擾資料，和本題線索對不上；請改從「金」思考。這題要從清代移民、開墾、族群互動與地方生活的背景判斷。</x:v>
      </x:c>
      <x:c r="S76" s="34" t="str">
        <x:v>這項選擇成立；「金」符合題目要求。這題要從清代移民、開墾、族群互動與地方生活的背景判斷。</x:v>
      </x:c>
      <x:c r="T76" s="34" t="str">
        <x:v>選項「鹿皮」混入了不同背景的資料。回看題幹，應選「金」。這題要從清代移民、開墾、族群互動與地方生活的背景判斷。</x:v>
      </x:c>
      <x:c r="U76" s="34" t="str">
        <x:v>題幹條件配對錯誤</x:v>
      </x:c>
      <x:c r="V76" s="34" t="str">
        <x:v>題幹條件配對錯誤</x:v>
      </x:c>
      <x:c r="W76" s="34" t="str">
        <x:v>判斷正確</x:v>
      </x:c>
      <x:c r="X76" s="34" t="str">
        <x:v>題幹條件配對錯誤</x:v>
      </x:c>
      <x:c r="Y76" s="34" t="str">
        <x:v>這題要從清代移民、開墾、族群互動與地方生活的背景判斷。</x:v>
      </x:c>
      <x:c r="Z76" s="34" t="str">
        <x:v>大航海時代的航海者為臺灣留下不同稱呼；馬尼拉是菲律賓城市，並不是臺灣的舊稱。</x:v>
      </x:c>
      <x:c r="AA76" s="34" t="str">
        <x:v>荷蘭人曾以臺灣南部為據點，經營貿易、傳教並課徵稅收；熱蘭遮堡是重要據點。</x:v>
      </x:c>
      <x:c r="AB76" s="34" t="str">
        <x:v>A</x:v>
      </x:c>
      <x:c r="AC76" s="34" t="str">
        <x:v>這項說明能直接支持「金」，也補上題目背後的課本知識。</x:v>
      </x:c>
      <x:c r="AD76" s="34" t="str">
        <x:v>這項知識本身可能正確，但屬於其他單元，不能用來證明本題答案。</x:v>
      </x:c>
      <x:c r="AE76" s="34" t="str">
        <x:v>這段資料談的是另一個主題，和目前題幹缺少直接關係。</x:v>
      </x:c>
      <x:c r="AF76" s="34" t="str">
        <x:v>回到課本地圖、時間線或表格，找出能再次驗證這個答案的資料。</x:v>
      </x:c>
      <x:c r="AG76" s="34" t="str">
        <x:v>月考卷B</x:v>
      </x:c>
      <x:c r="AH76" s="34" t="str">
        <x:v>B01_5下社會月考卷_第一單元_教用_.pdf</x:v>
      </x:c>
      <x:c r="AI76" s="34" t="n">
        <x:v>5</x:v>
      </x:c>
    </x:row>
    <x:row r="77" ht="76" customHeight="1">
      <x:c r="A77" s="34" t="str">
        <x:v>5B-U1</x:v>
      </x:c>
      <x:c r="B77" s="34" t="str">
        <x:v>五下</x:v>
      </x:c>
      <x:c r="C77" s="34" t="n">
        <x:v>1</x:v>
      </x:c>
      <x:c r="D77" s="34" t="str">
        <x:v>唐山到臺灣</x:v>
      </x:c>
      <x:c r="E77" s="34" t="str">
        <x:v>5B-U1-PAPER</x:v>
      </x:c>
      <x:c r="F77" s="34" t="n">
        <x:v>13</x:v>
      </x:c>
      <x:c r="G77" s="34" t="str">
        <x:v>月考卷A</x:v>
      </x:c>
      <x:c r="H77" s="34" t="str">
        <x:v>下列哪一項不是「郊」的功能？</x:v>
      </x:c>
      <x:c r="I77" s="34" t="str">
        <x:v>主持地方祭祀活動</x:v>
      </x:c>
      <x:c r="J77" s="34" t="str">
        <x:v>舉辦科舉選拔人才</x:v>
      </x:c>
      <x:c r="K77" s="34" t="str">
        <x:v>維持貿易秩序</x:v>
      </x:c>
      <x:c r="L77" s="34" t="str">
        <x:v>排解地方糾紛</x:v>
      </x:c>
      <x:c r="M77" s="34" t="str">
        <x:v>B</x:v>
      </x:c>
      <x:c r="N77" s="34" t="str">
        <x:v>舉辦科舉選拔人才</x:v>
      </x:c>
      <x:c r="O77" s="34" t="str">
        <x:v>先圈出題幹中的否定詞，再逐一檢查四個選項。</x:v>
      </x:c>
      <x:c r="P77" s="34" t="str">
        <x:v>把題幹線索和課本資料對照，可找到「舉辦科舉選拔人才」。這題要從清代移民、開墾、族群互動與地方生活的背景判斷。</x:v>
      </x:c>
      <x:c r="Q77" s="34" t="str">
        <x:v>「主持地方祭祀活動」是干擾資料，和本題線索對不上；請改從「舉辦科舉選拔人才」思考。這題要從清代移民、開墾、族群互動與地方生活的背景判斷。</x:v>
      </x:c>
      <x:c r="R77" s="34" t="str">
        <x:v>答對了，「舉辦科舉選拔人才」和題幹線索相符。這題要從清代移民、開墾、族群互動與地方生活的背景判斷。</x:v>
      </x:c>
      <x:c r="S77" s="34" t="str">
        <x:v>選項「維持貿易秩序」混入了不同背景的資料。回看題幹，應選「舉辦科舉選拔人才」。這題要從清代移民、開墾、族群互動與地方生活的背景判斷。</x:v>
      </x:c>
      <x:c r="T77" s="34" t="str">
        <x:v>「排解地方糾紛」沒有符合題幹限定的條件。正確方向是「舉辦科舉選拔人才」；這題要從清代移民、開墾、族群互動與地方生活的背景判斷。</x:v>
      </x:c>
      <x:c r="U77" s="34" t="str">
        <x:v>題幹條件配對錯誤</x:v>
      </x:c>
      <x:c r="V77" s="34" t="str">
        <x:v>判斷正確</x:v>
      </x:c>
      <x:c r="W77" s="34" t="str">
        <x:v>題幹條件配對錯誤</x:v>
      </x:c>
      <x:c r="X77" s="34" t="str">
        <x:v>題幹條件配對錯誤</x:v>
      </x:c>
      <x:c r="Y77" s="34" t="str">
        <x:v>這題要從清代移民、開墾、族群互動與地方生活的背景判斷。</x:v>
      </x:c>
      <x:c r="Z77" s="34" t="str">
        <x:v>這題要核對大航海時代的人物、地點與事件先後。</x:v>
      </x:c>
      <x:c r="AA77" s="34" t="str">
        <x:v>荷蘭人曾以臺灣南部為據點，經營貿易、傳教並課徵稅收；熱蘭遮堡是重要據點。</x:v>
      </x:c>
      <x:c r="AB77" s="34" t="str">
        <x:v>A</x:v>
      </x:c>
      <x:c r="AC77" s="34" t="str">
        <x:v>這項說明能直接支持「舉辦科舉選拔人才」，也補上題目背後的課本知識。</x:v>
      </x:c>
      <x:c r="AD77" s="34" t="str">
        <x:v>這項知識本身可能正確，但屬於其他單元，不能用來證明本題答案。</x:v>
      </x:c>
      <x:c r="AE77" s="34" t="str">
        <x:v>這段資料談的是另一個主題，和目前題幹缺少直接關係。</x:v>
      </x:c>
      <x:c r="AF77" s="34" t="str">
        <x:v>回到課本地圖、時間線或表格，找出能再次驗證這個答案的資料。</x:v>
      </x:c>
      <x:c r="AG77" s="34" t="str">
        <x:v>月考卷A</x:v>
      </x:c>
      <x:c r="AH77" s="34" t="str">
        <x:v>A01_5下社會月考卷_第一單元_教用_.pdf</x:v>
      </x:c>
      <x:c r="AI77" s="34" t="n">
        <x:v>6</x:v>
      </x:c>
    </x:row>
    <x:row r="78" ht="76" customHeight="1">
      <x:c r="A78" s="34" t="str">
        <x:v>5B-U1</x:v>
      </x:c>
      <x:c r="B78" s="34" t="str">
        <x:v>五下</x:v>
      </x:c>
      <x:c r="C78" s="34" t="n">
        <x:v>1</x:v>
      </x:c>
      <x:c r="D78" s="34" t="str">
        <x:v>唐山到臺灣</x:v>
      </x:c>
      <x:c r="E78" s="34" t="str">
        <x:v>5B-U1-PAPER</x:v>
      </x:c>
      <x:c r="F78" s="34" t="n">
        <x:v>14</x:v>
      </x:c>
      <x:c r="G78" s="34" t="str">
        <x:v>月考卷B</x:v>
      </x:c>
      <x:c r="H78" s="34" t="str">
        <x:v>清帝國時期的臺灣官員無法有效維持社會秩序，導致民眾集體反抗政府的「民變」頻傳。當時發生的民變不包含下列哪個事件？</x:v>
      </x:c>
      <x:c r="I78" s="34" t="str">
        <x:v>朱一貴事件</x:v>
      </x:c>
      <x:c r="J78" s="34" t="str">
        <x:v>林爽文事件</x:v>
      </x:c>
      <x:c r="K78" s="34" t="str">
        <x:v>戴潮春事件</x:v>
      </x:c>
      <x:c r="L78" s="34" t="str">
        <x:v>余清芳事件</x:v>
      </x:c>
      <x:c r="M78" s="34" t="str">
        <x:v>D</x:v>
      </x:c>
      <x:c r="N78" s="34" t="str">
        <x:v>余清芳事件</x:v>
      </x:c>
      <x:c r="O78" s="34" t="str">
        <x:v>找出題幹中的原因與結果，檢查兩者是否能連起來。</x:v>
      </x:c>
      <x:c r="P78" s="34" t="str">
        <x:v>「余清芳事件」最符合題目所問的時間、地點或概念。朱一貴事件是清代臺灣的重要民變，反映當時治理與社會矛盾。</x:v>
      </x:c>
      <x:c r="Q78" s="34" t="str">
        <x:v>這題不是在找「朱一貴事件」。對照課本後，「余清芳事件」才符合題意。朱一貴事件是清代臺灣的重要民變，反映當時治理與社會矛盾。</x:v>
      </x:c>
      <x:c r="R78" s="34" t="str">
        <x:v>選項「林爽文事件」混入了不同背景的資料。回看題幹，應選「余清芳事件」。朱一貴事件是清代臺灣的重要民變，反映當時治理與社會矛盾。</x:v>
      </x:c>
      <x:c r="S78" s="34" t="str">
        <x:v>「戴潮春事件」沒有符合題幹限定的條件。正確方向是「余清芳事件」；朱一貴事件是清代臺灣的重要民變，反映當時治理與社會矛盾。</x:v>
      </x:c>
      <x:c r="T78" s="34" t="str">
        <x:v>判斷正確！你找到了「余清芳事件」這個關鍵。朱一貴事件是清代臺灣的重要民變，反映當時治理與社會矛盾。</x:v>
      </x:c>
      <x:c r="U78" s="34" t="str">
        <x:v>題幹條件配對錯誤</x:v>
      </x:c>
      <x:c r="V78" s="34" t="str">
        <x:v>題幹條件配對錯誤</x:v>
      </x:c>
      <x:c r="W78" s="34" t="str">
        <x:v>題幹條件配對錯誤</x:v>
      </x:c>
      <x:c r="X78" s="34" t="str">
        <x:v>判斷正確</x:v>
      </x:c>
      <x:c r="Y78" s="34" t="str">
        <x:v>朱一貴事件是清代臺灣的重要民變，反映當時治理與社會矛盾。</x:v>
      </x:c>
      <x:c r="Z78" s="34" t="str">
        <x:v>牡丹社事件後，清廷更重視臺灣防務與治理，逐步採取開山撫番並廢除渡臺限制等政策。</x:v>
      </x:c>
      <x:c r="AA78" s="34" t="str">
        <x:v>這題要連結開港、戰爭、政策與港市發展的因果。</x:v>
      </x:c>
      <x:c r="AB78" s="34" t="str">
        <x:v>A</x:v>
      </x:c>
      <x:c r="AC78" s="34" t="str">
        <x:v>這項說明能直接支持「余清芳事件」，也補上題目背後的課本知識。</x:v>
      </x:c>
      <x:c r="AD78" s="34" t="str">
        <x:v>這項知識本身可能正確，但屬於其他單元，不能用來證明本題答案。</x:v>
      </x:c>
      <x:c r="AE78" s="34" t="str">
        <x:v>這段資料談的是另一個主題，和目前題幹缺少直接關係。</x:v>
      </x:c>
      <x:c r="AF78" s="34" t="str">
        <x:v>回到課本地圖、時間線或表格，找出能再次驗證這個答案的資料。</x:v>
      </x:c>
      <x:c r="AG78" s="34" t="str">
        <x:v>月考卷B</x:v>
      </x:c>
      <x:c r="AH78" s="34" t="str">
        <x:v>B01_5下社會月考卷_第一單元_教用_.pdf</x:v>
      </x:c>
      <x:c r="AI78" s="34" t="n">
        <x:v>7</x:v>
      </x:c>
    </x:row>
    <x:row r="79" ht="76" customHeight="1">
      <x:c r="A79" s="34" t="str">
        <x:v>5B-U1</x:v>
      </x:c>
      <x:c r="B79" s="34" t="str">
        <x:v>五下</x:v>
      </x:c>
      <x:c r="C79" s="34" t="n">
        <x:v>1</x:v>
      </x:c>
      <x:c r="D79" s="34" t="str">
        <x:v>唐山到臺灣</x:v>
      </x:c>
      <x:c r="E79" s="34" t="str">
        <x:v>5B-U1-PAPER</x:v>
      </x:c>
      <x:c r="F79" s="34" t="n">
        <x:v>15</x:v>
      </x:c>
      <x:c r="G79" s="34" t="str">
        <x:v>隨堂卷</x:v>
      </x:c>
      <x:c r="H79" s="34" t="str">
        <x:v>臺灣的河川具有哪一種特色？</x:v>
      </x:c>
      <x:c r="I79" s="34" t="str">
        <x:v>水流緩慢</x:v>
      </x:c>
      <x:c r="J79" s="34" t="str">
        <x:v>土壤沖刷強烈</x:v>
      </x:c>
      <x:c r="K79" s="34" t="str">
        <x:v>長度長</x:v>
      </x:c>
      <x:c r="L79" s="34" t="str">
        <x:v>大多為南北流向</x:v>
      </x:c>
      <x:c r="M79" s="34" t="str">
        <x:v>B</x:v>
      </x:c>
      <x:c r="N79" s="34" t="str">
        <x:v>土壤沖刷強烈</x:v>
      </x:c>
      <x:c r="O79" s="34" t="str">
        <x:v>抓住題幹的關鍵詞，再比較每個選項和課本內容是否相符。</x:v>
      </x:c>
      <x:c r="P79" s="34" t="str">
        <x:v>判斷重點不在字數，而在內容是否符合課本；答案是「土壤沖刷強烈」。這題要從清代移民、開墾、族群互動與地方生活的背景判斷。</x:v>
      </x:c>
      <x:c r="Q79" s="34" t="str">
        <x:v>選項「水流緩慢」混入了不同背景的資料。回看題幹，應選「土壤沖刷強烈」。這題要從清代移民、開墾、族群互動與地方生活的背景判斷。</x:v>
      </x:c>
      <x:c r="R79" s="34" t="str">
        <x:v>沒錯，課本中的相關資料支持「土壤沖刷強烈」。這題要從清代移民、開墾、族群互動與地方生活的背景判斷。</x:v>
      </x:c>
      <x:c r="S79" s="34" t="str">
        <x:v>先不要選「長度長」。把人物、地點或概念重新配對後，應是「土壤沖刷強烈」。這題要從清代移民、開墾、族群互動與地方生活的背景判斷。</x:v>
      </x:c>
      <x:c r="T79" s="34" t="str">
        <x:v>「大多為南北流向」是干擾資料，和本題線索對不上；請改從「土壤沖刷強烈」思考。這題要從清代移民、開墾、族群互動與地方生活的背景判斷。</x:v>
      </x:c>
      <x:c r="U79" s="34" t="str">
        <x:v>題幹條件配對錯誤</x:v>
      </x:c>
      <x:c r="V79" s="34" t="str">
        <x:v>判斷正確</x:v>
      </x:c>
      <x:c r="W79" s="34" t="str">
        <x:v>題幹條件配對錯誤</x:v>
      </x:c>
      <x:c r="X79" s="34" t="str">
        <x:v>題幹條件配對錯誤</x:v>
      </x:c>
      <x:c r="Y79" s="34" t="str">
        <x:v>這題要從清代移民、開墾、族群互動與地方生活的背景判斷。</x:v>
      </x:c>
      <x:c r="Z79" s="34" t="str">
        <x:v>劉銘傳是臺灣建省後的首任巡撫，推動鐵路、電報等建設；清法戰爭期間也加強淡水防務。</x:v>
      </x:c>
      <x:c r="AA79" s="34" t="str">
        <x:v>1860 年代臺灣開港通商後，外商設立洋行，外國也設領事館處理外交事務，臺灣更深地進入國際貿易。</x:v>
      </x:c>
      <x:c r="AB79" s="34" t="str">
        <x:v>A</x:v>
      </x:c>
      <x:c r="AC79" s="34" t="str">
        <x:v>這項說明能直接支持「土壤沖刷強烈」，也補上題目背後的課本知識。</x:v>
      </x:c>
      <x:c r="AD79" s="34" t="str">
        <x:v>這項知識本身可能正確，但屬於其他單元，不能用來證明本題答案。</x:v>
      </x:c>
      <x:c r="AE79" s="34" t="str">
        <x:v>這段資料談的是另一個主題，和目前題幹缺少直接關係。</x:v>
      </x:c>
      <x:c r="AF79" s="34" t="str">
        <x:v>回到課本地圖、時間線或表格，找出能再次驗證這個答案的資料。</x:v>
      </x:c>
      <x:c r="AG79" s="34" t="str">
        <x:v>隨堂卷</x:v>
      </x:c>
      <x:c r="AH79" s="34" t="str">
        <x:v>01_5下社會隨堂卷_第一單元唐山到臺灣_教用.pdf</x:v>
      </x:c>
      <x:c r="AI79" s="34" t="n">
        <x:v>7</x:v>
      </x:c>
    </x:row>
    <x:row r="80" ht="76" customHeight="1">
      <x:c r="A80" s="35" t="str">
        <x:v>5B-U2</x:v>
      </x:c>
      <x:c r="B80" s="35" t="str">
        <x:v>五下</x:v>
      </x:c>
      <x:c r="C80" s="35" t="n">
        <x:v>2</x:v>
      </x:c>
      <x:c r="D80" s="35" t="str">
        <x:v>開港通商後的臺灣</x:v>
      </x:c>
      <x:c r="E80" s="35" t="str">
        <x:v>5B-U2-PAPER</x:v>
      </x:c>
      <x:c r="F80" s="35" t="n">
        <x:v>1</x:v>
      </x:c>
      <x:c r="G80" s="35" t="str">
        <x:v>隨堂卷</x:v>
      </x:c>
      <x:c r="H80" s="35" t="str">
        <x:v>清帝國在下列哪一個事件發生後，對於臺灣的治理態度轉為積極？</x:v>
      </x:c>
      <x:c r="I80" s="35" t="str">
        <x:v>朱一貴事件</x:v>
      </x:c>
      <x:c r="J80" s="35" t="str">
        <x:v>林爽文事件</x:v>
      </x:c>
      <x:c r="K80" s="35" t="str">
        <x:v>牡丹社事件</x:v>
      </x:c>
      <x:c r="L80" s="35" t="str">
        <x:v>戴潮春事件</x:v>
      </x:c>
      <x:c r="M80" s="35" t="str">
        <x:v>C</x:v>
      </x:c>
      <x:c r="N80" s="35" t="str">
        <x:v>牡丹社事件</x:v>
      </x:c>
      <x:c r="O80" s="35" t="str">
        <x:v>抓住題幹的關鍵詞，再比較每個選項和課本內容是否相符。</x:v>
      </x:c>
      <x:c r="P80" s="35" t="str">
        <x:v>關鍵答案是「牡丹社事件」。牡丹社事件後，清廷更重視臺灣防務與治理，逐步採取開山撫番並廢除渡臺限制等政策。</x:v>
      </x:c>
      <x:c r="Q80" s="35" t="str">
        <x:v>「朱一貴事件」沒有符合題幹限定的條件。正確方向是「牡丹社事件」；牡丹社事件後，清廷更重視臺灣防務與治理，逐步採取開山撫番並廢除渡臺限制等政策。</x:v>
      </x:c>
      <x:c r="R80" s="35" t="str">
        <x:v>先不要選「林爽文事件」。把人物、地點或概念重新配對後，應是「牡丹社事件」。牡丹社事件後，清廷更重視臺灣防務與治理，逐步採取開山撫番並廢除渡臺限制等政策。</x:v>
      </x:c>
      <x:c r="S80" s="35" t="str">
        <x:v>答對了，「牡丹社事件」和題幹線索相符。牡丹社事件後，清廷更重視臺灣防務與治理，逐步採取開山撫番並廢除渡臺限制等政策。</x:v>
      </x:c>
      <x:c r="T80" s="35" t="str">
        <x:v>這題不是在找「戴潮春事件」。對照課本後，「牡丹社事件」才符合題意。牡丹社事件後，清廷更重視臺灣防務與治理，逐步採取開山撫番並廢除渡臺限制等政策。</x:v>
      </x:c>
      <x:c r="U80" s="35" t="str">
        <x:v>題幹條件配對錯誤</x:v>
      </x:c>
      <x:c r="V80" s="35" t="str">
        <x:v>題幹條件配對錯誤</x:v>
      </x:c>
      <x:c r="W80" s="35" t="str">
        <x:v>判斷正確</x:v>
      </x:c>
      <x:c r="X80" s="35" t="str">
        <x:v>題幹條件配對錯誤</x:v>
      </x:c>
      <x:c r="Y80" s="35" t="str">
        <x:v>牡丹社事件後，清廷更重視臺灣防務與治理，逐步採取開山撫番並廢除渡臺限制等政策。</x:v>
      </x:c>
      <x:c r="Z80" s="35" t="str">
        <x:v>消費會受到需求、價格、品質、廣告與同儕流行等因素影響，仍應先判斷是否真正需要。</x:v>
      </x:c>
      <x:c r="AA80" s="35" t="str">
        <x:v>投資報酬並不保證，風險是結果可能獲利也可能虧損；選擇前要評估自己能承受的損失。</x:v>
      </x:c>
      <x:c r="AB80" s="35" t="str">
        <x:v>A</x:v>
      </x:c>
      <x:c r="AC80" s="35" t="str">
        <x:v>這項說明能直接支持「牡丹社事件」，也補上題目背後的課本知識。</x:v>
      </x:c>
      <x:c r="AD80" s="35" t="str">
        <x:v>這項知識本身可能正確，但屬於其他單元，不能用來證明本題答案。</x:v>
      </x:c>
      <x:c r="AE80" s="35" t="str">
        <x:v>這段資料談的是另一個主題，和目前題幹缺少直接關係。</x:v>
      </x:c>
      <x:c r="AF80" s="35" t="str">
        <x:v>回到課本地圖、時間線或表格，找出能再次驗證這個答案的資料。</x:v>
      </x:c>
      <x:c r="AG80" s="35" t="str">
        <x:v>隨堂卷</x:v>
      </x:c>
      <x:c r="AH80" s="35" t="str">
        <x:v>02_5下社會隨堂卷_第二單元開港通商後的臺灣_教用.pdf</x:v>
      </x:c>
      <x:c r="AI80" s="35" t="n">
        <x:v>1</x:v>
      </x:c>
    </x:row>
    <x:row r="81" ht="76" customHeight="1">
      <x:c r="A81" s="35" t="str">
        <x:v>5B-U2</x:v>
      </x:c>
      <x:c r="B81" s="35" t="str">
        <x:v>五下</x:v>
      </x:c>
      <x:c r="C81" s="35" t="n">
        <x:v>2</x:v>
      </x:c>
      <x:c r="D81" s="35" t="str">
        <x:v>開港通商後的臺灣</x:v>
      </x:c>
      <x:c r="E81" s="35" t="str">
        <x:v>5B-U2-PAPER</x:v>
      </x:c>
      <x:c r="F81" s="35" t="n">
        <x:v>2</x:v>
      </x:c>
      <x:c r="G81" s="35" t="str">
        <x:v>月考卷A</x:v>
      </x:c>
      <x:c r="H81" s="35" t="str">
        <x:v>西元1885年，清帝國宣布臺灣建省，並任命哪一位大臣擔任臺灣第一任巡撫？</x:v>
      </x:c>
      <x:c r="I81" s="35" t="str">
        <x:v>林爽文</x:v>
      </x:c>
      <x:c r="J81" s="35" t="str">
        <x:v>巴克禮</x:v>
      </x:c>
      <x:c r="K81" s="35" t="str">
        <x:v>沈葆楨</x:v>
      </x:c>
      <x:c r="L81" s="35" t="str">
        <x:v>劉銘傳</x:v>
      </x:c>
      <x:c r="M81" s="35" t="str">
        <x:v>D</x:v>
      </x:c>
      <x:c r="N81" s="35" t="str">
        <x:v>劉銘傳</x:v>
      </x:c>
      <x:c r="O81" s="35" t="str">
        <x:v>把人物和他參與的事件、政策或地點配對。</x:v>
      </x:c>
      <x:c r="P81" s="35" t="str">
        <x:v>依課本內容，這題應選「劉銘傳」。劉銘傳是臺灣建省後的首任巡撫，推動鐵路、電報等建設；清法戰爭期間也加強淡水防務。</x:v>
      </x:c>
      <x:c r="Q81" s="35" t="str">
        <x:v>先不要選「林爽文」。把人物、地點或概念重新配對後，應是「劉銘傳」。劉銘傳是臺灣建省後的首任巡撫，推動鐵路、電報等建設；清法戰爭期間也加強淡水防務。</x:v>
      </x:c>
      <x:c r="R81" s="35" t="str">
        <x:v>「巴克禮」是干擾資料，和本題線索對不上；請改從「劉銘傳」思考。劉銘傳是臺灣建省後的首任巡撫，推動鐵路、電報等建設；清法戰爭期間也加強淡水防務。</x:v>
      </x:c>
      <x:c r="S81" s="35" t="str">
        <x:v>這題不是在找「沈葆楨」。對照課本後，「劉銘傳」才符合題意。劉銘傳是臺灣建省後的首任巡撫，推動鐵路、電報等建設；清法戰爭期間也加強淡水防務。</x:v>
      </x:c>
      <x:c r="T81" s="35" t="str">
        <x:v>判斷正確！你找到了「劉銘傳」這個關鍵。劉銘傳是臺灣建省後的首任巡撫，推動鐵路、電報等建設；清法戰爭期間也加強淡水防務。</x:v>
      </x:c>
      <x:c r="U81" s="35" t="str">
        <x:v>題幹條件配對錯誤</x:v>
      </x:c>
      <x:c r="V81" s="35" t="str">
        <x:v>題幹條件配對錯誤</x:v>
      </x:c>
      <x:c r="W81" s="35" t="str">
        <x:v>題幹條件配對錯誤</x:v>
      </x:c>
      <x:c r="X81" s="35" t="str">
        <x:v>判斷正確</x:v>
      </x:c>
      <x:c r="Y81" s="35" t="str">
        <x:v>劉銘傳是臺灣建省後的首任巡撫，推動鐵路、電報等建設；清法戰爭期間也加強淡水防務。</x:v>
      </x:c>
      <x:c r="Z81" s="35" t="str">
        <x:v>可疑中獎、轉帳或假包裹訊息可能是詐騙；不要急著付款，應利用 165 等正式管道查證。</x:v>
      </x:c>
      <x:c r="AA81" s="35" t="str">
        <x:v>這題要從消費權益、詐騙風險、理財或循環利用的角度判斷。</x:v>
      </x:c>
      <x:c r="AB81" s="35" t="str">
        <x:v>A</x:v>
      </x:c>
      <x:c r="AC81" s="35" t="str">
        <x:v>這項說明能直接支持「劉銘傳」，也補上題目背後的課本知識。</x:v>
      </x:c>
      <x:c r="AD81" s="35" t="str">
        <x:v>這項知識本身可能正確，但屬於其他單元，不能用來證明本題答案。</x:v>
      </x:c>
      <x:c r="AE81" s="35" t="str">
        <x:v>這段資料談的是另一個主題，和目前題幹缺少直接關係。</x:v>
      </x:c>
      <x:c r="AF81" s="35" t="str">
        <x:v>回到課本地圖、時間線或表格，找出能再次驗證這個答案的資料。</x:v>
      </x:c>
      <x:c r="AG81" s="35" t="str">
        <x:v>月考卷A</x:v>
      </x:c>
      <x:c r="AH81" s="35" t="str">
        <x:v>A02_5下社會月考卷_第二~三單元_教用_.pdf</x:v>
      </x:c>
      <x:c r="AI81" s="35" t="n">
        <x:v>1</x:v>
      </x:c>
    </x:row>
    <x:row r="82" ht="76" customHeight="1">
      <x:c r="A82" s="35" t="str">
        <x:v>5B-U2</x:v>
      </x:c>
      <x:c r="B82" s="35" t="str">
        <x:v>五下</x:v>
      </x:c>
      <x:c r="C82" s="35" t="n">
        <x:v>2</x:v>
      </x:c>
      <x:c r="D82" s="35" t="str">
        <x:v>開港通商後的臺灣</x:v>
      </x:c>
      <x:c r="E82" s="35" t="str">
        <x:v>5B-U2-PAPER</x:v>
      </x:c>
      <x:c r="F82" s="35" t="n">
        <x:v>3</x:v>
      </x:c>
      <x:c r="G82" s="35" t="str">
        <x:v>月考卷B</x:v>
      </x:c>
      <x:c r="H82" s="35" t="str">
        <x:v>下列哪一個事件發生後，清帝國意識到臺灣戰略地位的重要，於是在西元1885年宣布臺灣建省？</x:v>
      </x:c>
      <x:c r="I82" s="35" t="str">
        <x:v>朱一貴事件</x:v>
      </x:c>
      <x:c r="J82" s="35" t="str">
        <x:v>牡丹社事件</x:v>
      </x:c>
      <x:c r="K82" s="35" t="str">
        <x:v>清法戰爭</x:v>
      </x:c>
      <x:c r="L82" s="35" t="str">
        <x:v>戴潮春事件</x:v>
      </x:c>
      <x:c r="M82" s="35" t="str">
        <x:v>C</x:v>
      </x:c>
      <x:c r="N82" s="35" t="str">
        <x:v>清法戰爭</x:v>
      </x:c>
      <x:c r="O82" s="35" t="str">
        <x:v>抓住題幹的關鍵詞，再比較每個選項和課本內容是否相符。</x:v>
      </x:c>
      <x:c r="P82" s="35" t="str">
        <x:v>把題幹線索和課本資料對照，可找到「清法戰爭」。牡丹社事件後，清廷更重視臺灣防務與治理，逐步採取開山撫番並廢除渡臺限制等政策。</x:v>
      </x:c>
      <x:c r="Q82" s="35" t="str">
        <x:v>「朱一貴事件」是干擾資料，和本題線索對不上；請改從「清法戰爭」思考。牡丹社事件後，清廷更重視臺灣防務與治理，逐步採取開山撫番並廢除渡臺限制等政策。</x:v>
      </x:c>
      <x:c r="R82" s="35" t="str">
        <x:v>這題不是在找「牡丹社事件」。對照課本後，「清法戰爭」才符合題意。牡丹社事件後，清廷更重視臺灣防務與治理，逐步採取開山撫番並廢除渡臺限制等政策。</x:v>
      </x:c>
      <x:c r="S82" s="35" t="str">
        <x:v>沒錯，課本中的相關資料支持「清法戰爭」。牡丹社事件後，清廷更重視臺灣防務與治理，逐步採取開山撫番並廢除渡臺限制等政策。</x:v>
      </x:c>
      <x:c r="T82" s="35" t="str">
        <x:v>「戴潮春事件」沒有符合題幹限定的條件。正確方向是「清法戰爭」；牡丹社事件後，清廷更重視臺灣防務與治理，逐步採取開山撫番並廢除渡臺限制等政策。</x:v>
      </x:c>
      <x:c r="U82" s="35" t="str">
        <x:v>題幹條件配對錯誤</x:v>
      </x:c>
      <x:c r="V82" s="35" t="str">
        <x:v>題幹條件配對錯誤</x:v>
      </x:c>
      <x:c r="W82" s="35" t="str">
        <x:v>判斷正確</x:v>
      </x:c>
      <x:c r="X82" s="35" t="str">
        <x:v>題幹條件配對錯誤</x:v>
      </x:c>
      <x:c r="Y82" s="35" t="str">
        <x:v>牡丹社事件後，清廷更重視臺灣防務與治理，逐步採取開山撫番並廢除渡臺限制等政策。</x:v>
      </x:c>
      <x:c r="Z82" s="35" t="str">
        <x:v>八仙洞遺址可見舊石器時代的生活線索，當時人們主要採集、狩獵，尚未發展農耕定居。</x:v>
      </x:c>
      <x:c r="AA82" s="35" t="str">
        <x:v>赤道是把地球分成南、北半球的假想線；臺灣位在北半球。</x:v>
      </x:c>
      <x:c r="AB82" s="35" t="str">
        <x:v>A</x:v>
      </x:c>
      <x:c r="AC82" s="35" t="str">
        <x:v>這項說明能直接支持「清法戰爭」，也補上題目背後的課本知識。</x:v>
      </x:c>
      <x:c r="AD82" s="35" t="str">
        <x:v>這項知識本身可能正確，但屬於其他單元，不能用來證明本題答案。</x:v>
      </x:c>
      <x:c r="AE82" s="35" t="str">
        <x:v>這段資料談的是另一個主題，和目前題幹缺少直接關係。</x:v>
      </x:c>
      <x:c r="AF82" s="35" t="str">
        <x:v>回到課本地圖、時間線或表格，找出能再次驗證這個答案的資料。</x:v>
      </x:c>
      <x:c r="AG82" s="35" t="str">
        <x:v>月考卷B</x:v>
      </x:c>
      <x:c r="AH82" s="35" t="str">
        <x:v>B02_5下社會月考卷_第二~三單元_教用_.pdf</x:v>
      </x:c>
      <x:c r="AI82" s="35" t="n">
        <x:v>1</x:v>
      </x:c>
    </x:row>
    <x:row r="83" ht="76" customHeight="1">
      <x:c r="A83" s="35" t="str">
        <x:v>5B-U2</x:v>
      </x:c>
      <x:c r="B83" s="35" t="str">
        <x:v>五下</x:v>
      </x:c>
      <x:c r="C83" s="35" t="n">
        <x:v>2</x:v>
      </x:c>
      <x:c r="D83" s="35" t="str">
        <x:v>開港通商後的臺灣</x:v>
      </x:c>
      <x:c r="E83" s="35" t="str">
        <x:v>5B-U2-PAPER</x:v>
      </x:c>
      <x:c r="F83" s="35" t="n">
        <x:v>4</x:v>
      </x:c>
      <x:c r="G83" s="35" t="str">
        <x:v>月考卷B</x:v>
      </x:c>
      <x:c r="H83" s="35" t="str">
        <x:v>台江國家公園遊客中心以綠建築為設計理念，選用當地的哪項素材做為建築材料？</x:v>
      </x:c>
      <x:c r="I83" s="35" t="str">
        <x:v>海砂</x:v>
      </x:c>
      <x:c r="J83" s="35" t="str">
        <x:v>鹽磚</x:v>
      </x:c>
      <x:c r="K83" s="35" t="str">
        <x:v>蚵殼磚</x:v>
      </x:c>
      <x:c r="L83" s="35" t="str">
        <x:v>貝殼砂</x:v>
      </x:c>
      <x:c r="M83" s="35" t="str">
        <x:v>C</x:v>
      </x:c>
      <x:c r="N83" s="35" t="str">
        <x:v>蚵殼磚</x:v>
      </x:c>
      <x:c r="O83" s="35" t="str">
        <x:v>抓住題幹的關鍵詞，再比較每個選項和課本內容是否相符。</x:v>
      </x:c>
      <x:c r="P83" s="35" t="str">
        <x:v>「蚵殼磚」最符合題目所問的時間、地點或概念。這題要連結開港、戰爭、政策與港市發展的因果。</x:v>
      </x:c>
      <x:c r="Q83" s="35" t="str">
        <x:v>這題不是在找「海砂」。對照課本後，「蚵殼磚」才符合題意。這題要連結開港、戰爭、政策與港市發展的因果。</x:v>
      </x:c>
      <x:c r="R83" s="35" t="str">
        <x:v>選項「鹽磚」混入了不同背景的資料。回看題幹，應選「蚵殼磚」。這題要連結開港、戰爭、政策與港市發展的因果。</x:v>
      </x:c>
      <x:c r="S83" s="35" t="str">
        <x:v>這項選擇成立；「蚵殼磚」符合題目要求。這題要連結開港、戰爭、政策與港市發展的因果。</x:v>
      </x:c>
      <x:c r="T83" s="35" t="str">
        <x:v>先不要選「貝殼砂」。把人物、地點或概念重新配對後，應是「蚵殼磚」。這題要連結開港、戰爭、政策與港市發展的因果。</x:v>
      </x:c>
      <x:c r="U83" s="35" t="str">
        <x:v>題幹條件配對錯誤</x:v>
      </x:c>
      <x:c r="V83" s="35" t="str">
        <x:v>題幹條件配對錯誤</x:v>
      </x:c>
      <x:c r="W83" s="35" t="str">
        <x:v>判斷正確</x:v>
      </x:c>
      <x:c r="X83" s="35" t="str">
        <x:v>題幹條件配對錯誤</x:v>
      </x:c>
      <x:c r="Y83" s="35" t="str">
        <x:v>這題要連結開港、戰爭、政策與港市發展的因果。</x:v>
      </x:c>
      <x:c r="Z83" s="35" t="str">
        <x:v>這題要用臺灣的位置、地形或考古證據判斷，不能只靠印象。</x:v>
      </x:c>
      <x:c r="AA83" s="35" t="str">
        <x:v>臺灣東部多陡峭斷崖、西部多平直沙岸、北部多岬灣，南部則可見珊瑚礁海岸；高雄港利用潟湖地形發展。</x:v>
      </x:c>
      <x:c r="AB83" s="35" t="str">
        <x:v>A</x:v>
      </x:c>
      <x:c r="AC83" s="35" t="str">
        <x:v>這項說明能直接支持「蚵殼磚」，也補上題目背後的課本知識。</x:v>
      </x:c>
      <x:c r="AD83" s="35" t="str">
        <x:v>這項知識本身可能正確，但屬於其他單元，不能用來證明本題答案。</x:v>
      </x:c>
      <x:c r="AE83" s="35" t="str">
        <x:v>這段資料談的是另一個主題，和目前題幹缺少直接關係。</x:v>
      </x:c>
      <x:c r="AF83" s="35" t="str">
        <x:v>回到課本地圖、時間線或表格，找出能再次驗證這個答案的資料。</x:v>
      </x:c>
      <x:c r="AG83" s="35" t="str">
        <x:v>月考卷B</x:v>
      </x:c>
      <x:c r="AH83" s="35" t="str">
        <x:v>B02_5下社會月考卷_第二~三單元_教用_.pdf</x:v>
      </x:c>
      <x:c r="AI83" s="35" t="n">
        <x:v>3</x:v>
      </x:c>
    </x:row>
    <x:row r="84" ht="76" customHeight="1">
      <x:c r="A84" s="35" t="str">
        <x:v>5B-U2</x:v>
      </x:c>
      <x:c r="B84" s="35" t="str">
        <x:v>五下</x:v>
      </x:c>
      <x:c r="C84" s="35" t="n">
        <x:v>2</x:v>
      </x:c>
      <x:c r="D84" s="35" t="str">
        <x:v>開港通商後的臺灣</x:v>
      </x:c>
      <x:c r="E84" s="35" t="str">
        <x:v>5B-U2-PAPER</x:v>
      </x:c>
      <x:c r="F84" s="35" t="n">
        <x:v>5</x:v>
      </x:c>
      <x:c r="G84" s="35" t="str">
        <x:v>隨堂卷</x:v>
      </x:c>
      <x:c r="H84" s="35" t="str">
        <x:v>滬尾之役後，劉銘傳在哪條河流的出海口興建砲臺，強化防禦？</x:v>
      </x:c>
      <x:c r="I84" s="35" t="str">
        <x:v>濁水溪</x:v>
      </x:c>
      <x:c r="J84" s="35" t="str">
        <x:v>淡水河</x:v>
      </x:c>
      <x:c r="K84" s="35" t="str">
        <x:v>高屏溪</x:v>
      </x:c>
      <x:c r="L84" s="35" t="str">
        <x:v>新店溪</x:v>
      </x:c>
      <x:c r="M84" s="35" t="str">
        <x:v>B</x:v>
      </x:c>
      <x:c r="N84" s="35" t="str">
        <x:v>淡水河</x:v>
      </x:c>
      <x:c r="O84" s="35" t="str">
        <x:v>抓住題幹的關鍵詞，再比較每個選項和課本內容是否相符。</x:v>
      </x:c>
      <x:c r="P84" s="35" t="str">
        <x:v>判斷重點不在字數，而在內容是否符合課本；答案是「淡水河」。劉銘傳是臺灣建省後的首任巡撫，推動鐵路、電報等建設；清法戰爭期間也加強淡水防務。</x:v>
      </x:c>
      <x:c r="Q84" s="35" t="str">
        <x:v>選項「濁水溪」混入了不同背景的資料。回看題幹，應選「淡水河」。劉銘傳是臺灣建省後的首任巡撫，推動鐵路、電報等建設；清法戰爭期間也加強淡水防務。</x:v>
      </x:c>
      <x:c r="R84" s="35" t="str">
        <x:v>答對了，「淡水河」和題幹線索相符。劉銘傳是臺灣建省後的首任巡撫，推動鐵路、電報等建設；清法戰爭期間也加強淡水防務。</x:v>
      </x:c>
      <x:c r="S84" s="35" t="str">
        <x:v>先不要選「高屏溪」。把人物、地點或概念重新配對後，應是「淡水河」。劉銘傳是臺灣建省後的首任巡撫，推動鐵路、電報等建設；清法戰爭期間也加強淡水防務。</x:v>
      </x:c>
      <x:c r="T84" s="35" t="str">
        <x:v>「新店溪」是干擾資料，和本題線索對不上；請改從「淡水河」思考。劉銘傳是臺灣建省後的首任巡撫，推動鐵路、電報等建設；清法戰爭期間也加強淡水防務。</x:v>
      </x:c>
      <x:c r="U84" s="35" t="str">
        <x:v>題幹條件配對錯誤</x:v>
      </x:c>
      <x:c r="V84" s="35" t="str">
        <x:v>判斷正確</x:v>
      </x:c>
      <x:c r="W84" s="35" t="str">
        <x:v>題幹條件配對錯誤</x:v>
      </x:c>
      <x:c r="X84" s="35" t="str">
        <x:v>題幹條件配對錯誤</x:v>
      </x:c>
      <x:c r="Y84" s="35" t="str">
        <x:v>劉銘傳是臺灣建省後的首任巡撫，推動鐵路、電報等建設；清法戰爭期間也加強淡水防務。</x:v>
      </x:c>
      <x:c r="Z84" s="35" t="str">
        <x:v>法律由國家制定並具有強制力，可維持秩序、保障權利；少年事件處理法重視未成年人的健全成長。</x:v>
      </x:c>
      <x:c r="AA84" s="35" t="str">
        <x:v>平埔族群多居住在西部平原，因較早且頻繁與漢人接觸，部分文化受到漢化政策與社會變遷影響。</x:v>
      </x:c>
      <x:c r="AB84" s="35" t="str">
        <x:v>A</x:v>
      </x:c>
      <x:c r="AC84" s="35" t="str">
        <x:v>這項說明能直接支持「淡水河」，也補上題目背後的課本知識。</x:v>
      </x:c>
      <x:c r="AD84" s="35" t="str">
        <x:v>這項知識本身可能正確，但屬於其他單元，不能用來證明本題答案。</x:v>
      </x:c>
      <x:c r="AE84" s="35" t="str">
        <x:v>這段資料談的是另一個主題，和目前題幹缺少直接關係。</x:v>
      </x:c>
      <x:c r="AF84" s="35" t="str">
        <x:v>回到課本地圖、時間線或表格，找出能再次驗證這個答案的資料。</x:v>
      </x:c>
      <x:c r="AG84" s="35" t="str">
        <x:v>隨堂卷</x:v>
      </x:c>
      <x:c r="AH84" s="35" t="str">
        <x:v>02_5下社會隨堂卷_第二單元開港通商後的臺灣_教用.pdf</x:v>
      </x:c>
      <x:c r="AI84" s="35" t="n">
        <x:v>3</x:v>
      </x:c>
    </x:row>
    <x:row r="85" ht="76" customHeight="1">
      <x:c r="A85" s="35" t="str">
        <x:v>5B-U2</x:v>
      </x:c>
      <x:c r="B85" s="35" t="str">
        <x:v>五下</x:v>
      </x:c>
      <x:c r="C85" s="35" t="n">
        <x:v>2</x:v>
      </x:c>
      <x:c r="D85" s="35" t="str">
        <x:v>開港通商後的臺灣</x:v>
      </x:c>
      <x:c r="E85" s="35" t="str">
        <x:v>5B-U2-PAPER</x:v>
      </x:c>
      <x:c r="F85" s="35" t="n">
        <x:v>6</x:v>
      </x:c>
      <x:c r="G85" s="35" t="str">
        <x:v>月考卷A</x:v>
      </x:c>
      <x:c r="H85" s="35" t="str">
        <x:v>清帝國時期的臺灣，成為西方國家通商貿易目標，與下列哪種原因較有關？</x:v>
      </x:c>
      <x:c r="I85" s="35" t="str">
        <x:v>族群文化多元、包容性強</x:v>
      </x:c>
      <x:c r="J85" s="35" t="str">
        <x:v>位於東亞航道樞紐，地理位置優越</x:v>
      </x:c>
      <x:c r="K85" s="35" t="str">
        <x:v>島上只有原住民族居住，容易占領</x:v>
      </x:c>
      <x:c r="L85" s="35" t="str">
        <x:v>人口多、民風純樸</x:v>
      </x:c>
      <x:c r="M85" s="35" t="str">
        <x:v>B</x:v>
      </x:c>
      <x:c r="N85" s="35" t="str">
        <x:v>位於東亞航道樞紐，地理位置優越</x:v>
      </x:c>
      <x:c r="O85" s="35" t="str">
        <x:v>找出題幹中的原因與結果，檢查兩者是否能連起來。</x:v>
      </x:c>
      <x:c r="P85" s="35" t="str">
        <x:v>關鍵答案是「位於東亞航道樞紐，地理位置優越」。1860 年代臺灣開港通商後，外商設立洋行，外國也設領事館處理外交事務，臺灣更深地進入國際貿易。</x:v>
      </x:c>
      <x:c r="Q85" s="35" t="str">
        <x:v>「族群文化多元、包容性強」沒有符合題幹限定的條件。正確方向是「位於東亞航道樞紐，地理位置優越」；1860 年代臺灣開港通商後，外商設立洋行，外國也設領事館處理外交事務，臺灣更深地進入國際貿易。</x:v>
      </x:c>
      <x:c r="R85" s="35" t="str">
        <x:v>判斷正確！你找到了「位於東亞航道樞紐，地理位置優越」這個關鍵。1860 年代臺灣開港通商後，外商設立洋行，外國也設領事館處理外交事務，臺灣更深地進入國際貿易。</x:v>
      </x:c>
      <x:c r="S85" s="35" t="str">
        <x:v>「島上只有原住民族居住，容易占領」是干擾資料，和本題線索對不上；請改從「位於東亞航道樞紐，地理位置優越」思考。1860 年代臺灣開港通商後，外商設立洋行，外國也設領事館處理外交事務，臺灣更深地進入國際貿易。</x:v>
      </x:c>
      <x:c r="T85" s="35" t="str">
        <x:v>這題不是在找「人口多、民風純樸」。對照課本後，「位於東亞航道樞紐，地理位置優越」才符合題意。1860 年代臺灣開港通商後，外商設立洋行，外國也設領事館處理外交事務，臺灣更深地進入國際貿易。</x:v>
      </x:c>
      <x:c r="U85" s="35" t="str">
        <x:v>題幹條件配對錯誤</x:v>
      </x:c>
      <x:c r="V85" s="35" t="str">
        <x:v>判斷正確</x:v>
      </x:c>
      <x:c r="W85" s="35" t="str">
        <x:v>題幹條件配對錯誤</x:v>
      </x:c>
      <x:c r="X85" s="35" t="str">
        <x:v>題幹條件配對錯誤</x:v>
      </x:c>
      <x:c r="Y85" s="35" t="str">
        <x:v>1860 年代臺灣開港通商後，外商設立洋行，外國也設領事館處理外交事務，臺灣更深地進入國際貿易。</x:v>
      </x:c>
      <x:c r="Z85" s="35" t="str">
        <x:v>平埔族群多居住在西部平原，因較早且頻繁與漢人接觸，部分文化受到漢化政策與社會變遷影響。</x:v>
      </x:c>
      <x:c r="AA85" s="35" t="str">
        <x:v>傳統領域和族群的生活、祭儀與資源利用密切相關，不能只把它看成一般景點。</x:v>
      </x:c>
      <x:c r="AB85" s="35" t="str">
        <x:v>A</x:v>
      </x:c>
      <x:c r="AC85" s="35" t="str">
        <x:v>這項說明能直接支持「位於東亞航道樞紐，地理位置優越」，也補上題目背後的課本知識。</x:v>
      </x:c>
      <x:c r="AD85" s="35" t="str">
        <x:v>這項知識本身可能正確，但屬於其他單元，不能用來證明本題答案。</x:v>
      </x:c>
      <x:c r="AE85" s="35" t="str">
        <x:v>這段資料談的是另一個主題，和目前題幹缺少直接關係。</x:v>
      </x:c>
      <x:c r="AF85" s="35" t="str">
        <x:v>回到課本地圖、時間線或表格，找出能再次驗證這個答案的資料。</x:v>
      </x:c>
      <x:c r="AG85" s="35" t="str">
        <x:v>月考卷A</x:v>
      </x:c>
      <x:c r="AH85" s="35" t="str">
        <x:v>A02_5下社會月考卷_第二~三單元_教用_.pdf</x:v>
      </x:c>
      <x:c r="AI85" s="35" t="n">
        <x:v>4</x:v>
      </x:c>
    </x:row>
    <x:row r="86" ht="76" customHeight="1">
      <x:c r="A86" s="35" t="str">
        <x:v>5B-U2</x:v>
      </x:c>
      <x:c r="B86" s="35" t="str">
        <x:v>五下</x:v>
      </x:c>
      <x:c r="C86" s="35" t="n">
        <x:v>2</x:v>
      </x:c>
      <x:c r="D86" s="35" t="str">
        <x:v>開港通商後的臺灣</x:v>
      </x:c>
      <x:c r="E86" s="35" t="str">
        <x:v>5B-U2-PAPER</x:v>
      </x:c>
      <x:c r="F86" s="35" t="n">
        <x:v>7</x:v>
      </x:c>
      <x:c r="G86" s="35" t="str">
        <x:v>月考卷B</x:v>
      </x:c>
      <x:c r="H86" s="35" t="str">
        <x:v>清帝國與法國為了爭奪下列哪個地區的主權，而爆發清法戰爭？</x:v>
      </x:c>
      <x:c r="I86" s="35" t="str">
        <x:v>宮古島</x:v>
      </x:c>
      <x:c r="J86" s="35" t="str">
        <x:v>八瑤灣</x:v>
      </x:c>
      <x:c r="K86" s="35" t="str">
        <x:v>安南</x:v>
      </x:c>
      <x:c r="L86" s="35" t="str">
        <x:v>牡丹社</x:v>
      </x:c>
      <x:c r="M86" s="35" t="str">
        <x:v>C</x:v>
      </x:c>
      <x:c r="N86" s="35" t="str">
        <x:v>安南</x:v>
      </x:c>
      <x:c r="O86" s="35" t="str">
        <x:v>先找題幹的方向或地點線索，再和課本地圖對照。</x:v>
      </x:c>
      <x:c r="P86" s="35" t="str">
        <x:v>依課本內容，這題應選「安南」。牡丹社事件後，清廷更重視臺灣防務與治理，逐步採取開山撫番並廢除渡臺限制等政策。</x:v>
      </x:c>
      <x:c r="Q86" s="35" t="str">
        <x:v>先不要選「宮古島」。把人物、地點或概念重新配對後，應是「安南」。牡丹社事件後，清廷更重視臺灣防務與治理，逐步採取開山撫番並廢除渡臺限制等政策。</x:v>
      </x:c>
      <x:c r="R86" s="35" t="str">
        <x:v>「八瑤灣」是干擾資料，和本題線索對不上；請改從「安南」思考。牡丹社事件後，清廷更重視臺灣防務與治理，逐步採取開山撫番並廢除渡臺限制等政策。</x:v>
      </x:c>
      <x:c r="S86" s="35" t="str">
        <x:v>沒錯，課本中的相關資料支持「安南」。牡丹社事件後，清廷更重視臺灣防務與治理，逐步採取開山撫番並廢除渡臺限制等政策。</x:v>
      </x:c>
      <x:c r="T86" s="35" t="str">
        <x:v>選項「牡丹社」混入了不同背景的資料。回看題幹，應選「安南」。牡丹社事件後，清廷更重視臺灣防務與治理，逐步採取開山撫番並廢除渡臺限制等政策。</x:v>
      </x:c>
      <x:c r="U86" s="35" t="str">
        <x:v>題幹條件配對錯誤</x:v>
      </x:c>
      <x:c r="V86" s="35" t="str">
        <x:v>題幹條件配對錯誤</x:v>
      </x:c>
      <x:c r="W86" s="35" t="str">
        <x:v>判斷正確</x:v>
      </x:c>
      <x:c r="X86" s="35" t="str">
        <x:v>題幹條件配對錯誤</x:v>
      </x:c>
      <x:c r="Y86" s="35" t="str">
        <x:v>牡丹社事件後，清廷更重視臺灣防務與治理，逐步採取開山撫番並廢除渡臺限制等政策。</x:v>
      </x:c>
      <x:c r="Z86" s="35" t="str">
        <x:v>臺灣礦業曾帶動地方發展，但多數礦產逐漸停採；花蓮仍有大理石礦，瑞芳、九份過去則以煤或金礦聞名。</x:v>
      </x:c>
      <x:c r="AA86" s="35" t="str">
        <x:v>這題要把資源來源、生產方式與環境影響放在一起判斷。</x:v>
      </x:c>
      <x:c r="AB86" s="35" t="str">
        <x:v>A</x:v>
      </x:c>
      <x:c r="AC86" s="35" t="str">
        <x:v>這項說明能直接支持「安南」，也補上題目背後的課本知識。</x:v>
      </x:c>
      <x:c r="AD86" s="35" t="str">
        <x:v>這項知識本身可能正確，但屬於其他單元，不能用來證明本題答案。</x:v>
      </x:c>
      <x:c r="AE86" s="35" t="str">
        <x:v>這段資料談的是另一個主題，和目前題幹缺少直接關係。</x:v>
      </x:c>
      <x:c r="AF86" s="35" t="str">
        <x:v>回到課本地圖、時間線或表格，找出能再次驗證這個答案的資料。</x:v>
      </x:c>
      <x:c r="AG86" s="35" t="str">
        <x:v>月考卷B</x:v>
      </x:c>
      <x:c r="AH86" s="35" t="str">
        <x:v>B02_5下社會月考卷_第二~三單元_教用_.pdf</x:v>
      </x:c>
      <x:c r="AI86" s="35" t="n">
        <x:v>5</x:v>
      </x:c>
    </x:row>
    <x:row r="87" ht="76" customHeight="1">
      <x:c r="A87" s="35" t="str">
        <x:v>5B-U2</x:v>
      </x:c>
      <x:c r="B87" s="35" t="str">
        <x:v>五下</x:v>
      </x:c>
      <x:c r="C87" s="35" t="n">
        <x:v>2</x:v>
      </x:c>
      <x:c r="D87" s="35" t="str">
        <x:v>開港通商後的臺灣</x:v>
      </x:c>
      <x:c r="E87" s="35" t="str">
        <x:v>5B-U2-PAPER</x:v>
      </x:c>
      <x:c r="F87" s="35" t="n">
        <x:v>8</x:v>
      </x:c>
      <x:c r="G87" s="35" t="str">
        <x:v>隨堂卷</x:v>
      </x:c>
      <x:c r="H87" s="35" t="str">
        <x:v>小恩是清帝國時期居住於集集的商人，他經常將鄰近地區的物產出口到國外，下列哪項較可能是他販賣的商品？</x:v>
      </x:c>
      <x:c r="I87" s="35" t="str">
        <x:v>茶葉</x:v>
      </x:c>
      <x:c r="J87" s="35" t="str">
        <x:v>樟腦</x:v>
      </x:c>
      <x:c r="K87" s="35" t="str">
        <x:v>蔗糖</x:v>
      </x:c>
      <x:c r="L87" s="35" t="str">
        <x:v>稻米</x:v>
      </x:c>
      <x:c r="M87" s="35" t="str">
        <x:v>B</x:v>
      </x:c>
      <x:c r="N87" s="35" t="str">
        <x:v>樟腦</x:v>
      </x:c>
      <x:c r="O87" s="35" t="str">
        <x:v>抓住題幹的關鍵詞，再比較每個選項和課本內容是否相符。</x:v>
      </x:c>
      <x:c r="P87" s="35" t="str">
        <x:v>把題幹線索和課本資料對照，可找到「樟腦」。開港後茶葉等商品從北部輸出，帶動大稻埕與北部港市發展，也使經濟重心逐漸北移。</x:v>
      </x:c>
      <x:c r="Q87" s="35" t="str">
        <x:v>「茶葉」是干擾資料，和本題線索對不上；請改從「樟腦」思考。開港後茶葉等商品從北部輸出，帶動大稻埕與北部港市發展，也使經濟重心逐漸北移。</x:v>
      </x:c>
      <x:c r="R87" s="35" t="str">
        <x:v>這項選擇成立；「樟腦」符合題目要求。開港後茶葉等商品從北部輸出，帶動大稻埕與北部港市發展，也使經濟重心逐漸北移。</x:v>
      </x:c>
      <x:c r="S87" s="35" t="str">
        <x:v>選項「蔗糖」混入了不同背景的資料。回看題幹，應選「樟腦」。開港後茶葉等商品從北部輸出，帶動大稻埕與北部港市發展，也使經濟重心逐漸北移。</x:v>
      </x:c>
      <x:c r="T87" s="35" t="str">
        <x:v>「稻米」沒有符合題幹限定的條件。正確方向是「樟腦」；開港後茶葉等商品從北部輸出，帶動大稻埕與北部港市發展，也使經濟重心逐漸北移。</x:v>
      </x:c>
      <x:c r="U87" s="35" t="str">
        <x:v>題幹條件配對錯誤</x:v>
      </x:c>
      <x:c r="V87" s="35" t="str">
        <x:v>判斷正確</x:v>
      </x:c>
      <x:c r="W87" s="35" t="str">
        <x:v>題幹條件配對錯誤</x:v>
      </x:c>
      <x:c r="X87" s="35" t="str">
        <x:v>題幹條件配對錯誤</x:v>
      </x:c>
      <x:c r="Y87" s="35" t="str">
        <x:v>開港後茶葉等商品從北部輸出，帶動大稻埕與北部港市發展，也使經濟重心逐漸北移。</x:v>
      </x:c>
      <x:c r="Z87" s="35" t="str">
        <x:v>臺灣周邊海流交會，帶來多樣漁業資源；過度捕撈會使魚群減少，因此需要適當的取用與管理。</x:v>
      </x:c>
      <x:c r="AA87" s="35" t="str">
        <x:v>臺灣礦業曾帶動地方發展，但多數礦產逐漸停採；花蓮仍有大理石礦，瑞芳、九份過去則以煤或金礦聞名。</x:v>
      </x:c>
      <x:c r="AB87" s="35" t="str">
        <x:v>A</x:v>
      </x:c>
      <x:c r="AC87" s="35" t="str">
        <x:v>這項說明能直接支持「樟腦」，也補上題目背後的課本知識。</x:v>
      </x:c>
      <x:c r="AD87" s="35" t="str">
        <x:v>這項知識本身可能正確，但屬於其他單元，不能用來證明本題答案。</x:v>
      </x:c>
      <x:c r="AE87" s="35" t="str">
        <x:v>這段資料談的是另一個主題，和目前題幹缺少直接關係。</x:v>
      </x:c>
      <x:c r="AF87" s="35" t="str">
        <x:v>回到課本地圖、時間線或表格，找出能再次驗證這個答案的資料。</x:v>
      </x:c>
      <x:c r="AG87" s="35" t="str">
        <x:v>隨堂卷</x:v>
      </x:c>
      <x:c r="AH87" s="35" t="str">
        <x:v>02_5下社會隨堂卷_第二單元開港通商後的臺灣_教用.pdf</x:v>
      </x:c>
      <x:c r="AI87" s="35" t="n">
        <x:v>5</x:v>
      </x:c>
    </x:row>
    <x:row r="88" ht="76" customHeight="1">
      <x:c r="A88" s="35" t="str">
        <x:v>5B-U2</x:v>
      </x:c>
      <x:c r="B88" s="35" t="str">
        <x:v>五下</x:v>
      </x:c>
      <x:c r="C88" s="35" t="n">
        <x:v>2</x:v>
      </x:c>
      <x:c r="D88" s="35" t="str">
        <x:v>開港通商後的臺灣</x:v>
      </x:c>
      <x:c r="E88" s="35" t="str">
        <x:v>5B-U2-PAPER</x:v>
      </x:c>
      <x:c r="F88" s="35" t="n">
        <x:v>9</x:v>
      </x:c>
      <x:c r="G88" s="35" t="str">
        <x:v>月考卷A</x:v>
      </x:c>
      <x:c r="H88" s="35" t="str">
        <x:v>早期大稻埕居住著平埔族群，清帝國時期，漢人在當地晒稻穀而得名，後來大稻埕成為哪種作物外銷與貿易的重要據點？</x:v>
      </x:c>
      <x:c r="I88" s="35" t="str">
        <x:v>茶葉</x:v>
      </x:c>
      <x:c r="J88" s="35" t="str">
        <x:v>木材</x:v>
      </x:c>
      <x:c r="K88" s="35" t="str">
        <x:v>蔗糖</x:v>
      </x:c>
      <x:c r="L88" s="35" t="str">
        <x:v>樟腦</x:v>
      </x:c>
      <x:c r="M88" s="35" t="str">
        <x:v>A</x:v>
      </x:c>
      <x:c r="N88" s="35" t="str">
        <x:v>茶葉</x:v>
      </x:c>
      <x:c r="O88" s="35" t="str">
        <x:v>抓住題幹的關鍵詞，再比較每個選項和課本內容是否相符。</x:v>
      </x:c>
      <x:c r="P88" s="35" t="str">
        <x:v>「茶葉」最符合題目所問的時間、地點或概念。開港後茶葉等商品從北部輸出，帶動大稻埕與北部港市發展，也使經濟重心逐漸北移。</x:v>
      </x:c>
      <x:c r="Q88" s="35" t="str">
        <x:v>答對了，「茶葉」和題幹線索相符。開港後茶葉等商品從北部輸出，帶動大稻埕與北部港市發展，也使經濟重心逐漸北移。</x:v>
      </x:c>
      <x:c r="R88" s="35" t="str">
        <x:v>選項「木材」混入了不同背景的資料。回看題幹，應選「茶葉」。開港後茶葉等商品從北部輸出，帶動大稻埕與北部港市發展，也使經濟重心逐漸北移。</x:v>
      </x:c>
      <x:c r="S88" s="35" t="str">
        <x:v>「蔗糖」沒有符合題幹限定的條件。正確方向是「茶葉」；開港後茶葉等商品從北部輸出，帶動大稻埕與北部港市發展，也使經濟重心逐漸北移。</x:v>
      </x:c>
      <x:c r="T88" s="35" t="str">
        <x:v>先不要選「樟腦」。把人物、地點或概念重新配對後，應是「茶葉」。開港後茶葉等商品從北部輸出，帶動大稻埕與北部港市發展，也使經濟重心逐漸北移。</x:v>
      </x:c>
      <x:c r="U88" s="35" t="str">
        <x:v>判斷正確</x:v>
      </x:c>
      <x:c r="V88" s="35" t="str">
        <x:v>題幹條件配對錯誤</x:v>
      </x:c>
      <x:c r="W88" s="35" t="str">
        <x:v>題幹條件配對錯誤</x:v>
      </x:c>
      <x:c r="X88" s="35" t="str">
        <x:v>題幹條件配對錯誤</x:v>
      </x:c>
      <x:c r="Y88" s="35" t="str">
        <x:v>開港後茶葉等商品從北部輸出，帶動大稻埕與北部港市發展，也使經濟重心逐漸北移。</x:v>
      </x:c>
      <x:c r="Z88" s="35" t="str">
        <x:v>荷蘭人曾以臺灣南部為據點，經營貿易、傳教並課徵稅收；熱蘭遮堡是重要據點。</x:v>
      </x:c>
      <x:c r="AA88" s="35" t="str">
        <x:v>大航海時代的航海者為臺灣留下不同稱呼；馬尼拉是菲律賓城市，並不是臺灣的舊稱。</x:v>
      </x:c>
      <x:c r="AB88" s="35" t="str">
        <x:v>A</x:v>
      </x:c>
      <x:c r="AC88" s="35" t="str">
        <x:v>這項說明能直接支持「茶葉」，也補上題目背後的課本知識。</x:v>
      </x:c>
      <x:c r="AD88" s="35" t="str">
        <x:v>這項知識本身可能正確，但屬於其他單元，不能用來證明本題答案。</x:v>
      </x:c>
      <x:c r="AE88" s="35" t="str">
        <x:v>這段資料談的是另一個主題，和目前題幹缺少直接關係。</x:v>
      </x:c>
      <x:c r="AF88" s="35" t="str">
        <x:v>回到課本地圖、時間線或表格，找出能再次驗證這個答案的資料。</x:v>
      </x:c>
      <x:c r="AG88" s="35" t="str">
        <x:v>月考卷A</x:v>
      </x:c>
      <x:c r="AH88" s="35" t="str">
        <x:v>A02_5下社會月考卷_第二~三單元_教用_.pdf</x:v>
      </x:c>
      <x:c r="AI88" s="35" t="n">
        <x:v>5</x:v>
      </x:c>
    </x:row>
    <x:row r="89" ht="76" customHeight="1">
      <x:c r="A89" s="35" t="str">
        <x:v>5B-U2</x:v>
      </x:c>
      <x:c r="B89" s="35" t="str">
        <x:v>五下</x:v>
      </x:c>
      <x:c r="C89" s="35" t="n">
        <x:v>2</x:v>
      </x:c>
      <x:c r="D89" s="35" t="str">
        <x:v>開港通商後的臺灣</x:v>
      </x:c>
      <x:c r="E89" s="35" t="str">
        <x:v>5B-U2-PAPER</x:v>
      </x:c>
      <x:c r="F89" s="35" t="n">
        <x:v>10</x:v>
      </x:c>
      <x:c r="G89" s="35" t="str">
        <x:v>隨堂卷</x:v>
      </x:c>
      <x:c r="H89" s="35" t="str">
        <x:v>清帝國指派劉銘傳來臺督戰，是為了阻止下列哪一個國家的攻勢？</x:v>
      </x:c>
      <x:c r="I89" s="35" t="str">
        <x:v>德國</x:v>
      </x:c>
      <x:c r="J89" s="35" t="str">
        <x:v>英國</x:v>
      </x:c>
      <x:c r="K89" s="35" t="str">
        <x:v>美國</x:v>
      </x:c>
      <x:c r="L89" s="35" t="str">
        <x:v>法國</x:v>
      </x:c>
      <x:c r="M89" s="35" t="str">
        <x:v>D</x:v>
      </x:c>
      <x:c r="N89" s="35" t="str">
        <x:v>法國</x:v>
      </x:c>
      <x:c r="O89" s="35" t="str">
        <x:v>抓住題幹的關鍵詞，再比較每個選項和課本內容是否相符。</x:v>
      </x:c>
      <x:c r="P89" s="35" t="str">
        <x:v>判斷重點不在字數，而在內容是否符合課本；答案是「法國」。劉銘傳是臺灣建省後的首任巡撫，推動鐵路、電報等建設；清法戰爭期間也加強淡水防務。</x:v>
      </x:c>
      <x:c r="Q89" s="35" t="str">
        <x:v>選項「德國」混入了不同背景的資料。回看題幹，應選「法國」。劉銘傳是臺灣建省後的首任巡撫，推動鐵路、電報等建設；清法戰爭期間也加強淡水防務。</x:v>
      </x:c>
      <x:c r="R89" s="35" t="str">
        <x:v>「英國」沒有符合題幹限定的條件。正確方向是「法國」；劉銘傳是臺灣建省後的首任巡撫，推動鐵路、電報等建設；清法戰爭期間也加強淡水防務。</x:v>
      </x:c>
      <x:c r="S89" s="35" t="str">
        <x:v>先不要選「美國」。把人物、地點或概念重新配對後，應是「法國」。劉銘傳是臺灣建省後的首任巡撫，推動鐵路、電報等建設；清法戰爭期間也加強淡水防務。</x:v>
      </x:c>
      <x:c r="T89" s="35" t="str">
        <x:v>判斷正確！你找到了「法國」這個關鍵。劉銘傳是臺灣建省後的首任巡撫，推動鐵路、電報等建設；清法戰爭期間也加強淡水防務。</x:v>
      </x:c>
      <x:c r="U89" s="35" t="str">
        <x:v>題幹條件配對錯誤</x:v>
      </x:c>
      <x:c r="V89" s="35" t="str">
        <x:v>題幹條件配對錯誤</x:v>
      </x:c>
      <x:c r="W89" s="35" t="str">
        <x:v>題幹條件配對錯誤</x:v>
      </x:c>
      <x:c r="X89" s="35" t="str">
        <x:v>判斷正確</x:v>
      </x:c>
      <x:c r="Y89" s="35" t="str">
        <x:v>劉銘傳是臺灣建省後的首任巡撫，推動鐵路、電報等建設；清法戰爭期間也加強淡水防務。</x:v>
      </x:c>
      <x:c r="Z89" s="35" t="str">
        <x:v>荷蘭人曾以臺灣南部為據點，經營貿易、傳教並課徵稅收；熱蘭遮堡是重要據點。</x:v>
      </x:c>
      <x:c r="AA89" s="35" t="str">
        <x:v>西班牙人曾在臺灣北部建立據點；三貂角的名稱也和大航海時代的西班牙航行有關。</x:v>
      </x:c>
      <x:c r="AB89" s="35" t="str">
        <x:v>A</x:v>
      </x:c>
      <x:c r="AC89" s="35" t="str">
        <x:v>這項說明能直接支持「法國」，也補上題目背後的課本知識。</x:v>
      </x:c>
      <x:c r="AD89" s="35" t="str">
        <x:v>這項知識本身可能正確，但屬於其他單元，不能用來證明本題答案。</x:v>
      </x:c>
      <x:c r="AE89" s="35" t="str">
        <x:v>這段資料談的是另一個主題，和目前題幹缺少直接關係。</x:v>
      </x:c>
      <x:c r="AF89" s="35" t="str">
        <x:v>回到課本地圖、時間線或表格，找出能再次驗證這個答案的資料。</x:v>
      </x:c>
      <x:c r="AG89" s="35" t="str">
        <x:v>隨堂卷</x:v>
      </x:c>
      <x:c r="AH89" s="35" t="str">
        <x:v>02_5下社會隨堂卷_第二單元開港通商後的臺灣_教用.pdf</x:v>
      </x:c>
      <x:c r="AI89" s="35" t="n">
        <x:v>6</x:v>
      </x:c>
    </x:row>
    <x:row r="90" ht="76" customHeight="1">
      <x:c r="A90" s="35" t="str">
        <x:v>5B-U2</x:v>
      </x:c>
      <x:c r="B90" s="35" t="str">
        <x:v>五下</x:v>
      </x:c>
      <x:c r="C90" s="35" t="n">
        <x:v>2</x:v>
      </x:c>
      <x:c r="D90" s="35" t="str">
        <x:v>開港通商後的臺灣</x:v>
      </x:c>
      <x:c r="E90" s="35" t="str">
        <x:v>5B-U2-PAPER</x:v>
      </x:c>
      <x:c r="F90" s="35" t="n">
        <x:v>11</x:v>
      </x:c>
      <x:c r="G90" s="35" t="str">
        <x:v>月考卷B</x:v>
      </x:c>
      <x:c r="H90" s="35" t="str">
        <x:v>西元1860年代，清帝國開放臺灣的通商港口後，外國商人在港口設立了哪些機構，進行國際貿易及處理外交事務？</x:v>
      </x:c>
      <x:c r="I90" s="35" t="str">
        <x:v>郊、書院</x:v>
      </x:c>
      <x:c r="J90" s="35" t="str">
        <x:v>書院、領事館</x:v>
      </x:c>
      <x:c r="K90" s="35" t="str">
        <x:v>洋行、郊</x:v>
      </x:c>
      <x:c r="L90" s="35" t="str">
        <x:v>洋行、領事館</x:v>
      </x:c>
      <x:c r="M90" s="35" t="str">
        <x:v>D</x:v>
      </x:c>
      <x:c r="N90" s="35" t="str">
        <x:v>洋行、領事館</x:v>
      </x:c>
      <x:c r="O90" s="35" t="str">
        <x:v>抓住題幹的關鍵詞，再比較每個選項和課本內容是否相符。</x:v>
      </x:c>
      <x:c r="P90" s="35" t="str">
        <x:v>關鍵答案是「洋行、領事館」。1860 年代臺灣開港通商後，外商設立洋行，外國也設領事館處理外交事務，臺灣更深地進入國際貿易。</x:v>
      </x:c>
      <x:c r="Q90" s="35" t="str">
        <x:v>「郊、書院」沒有符合題幹限定的條件。正確方向是「洋行、領事館」；1860 年代臺灣開港通商後，外商設立洋行，外國也設領事館處理外交事務，臺灣更深地進入國際貿易。</x:v>
      </x:c>
      <x:c r="R90" s="35" t="str">
        <x:v>先不要選「書院、領事館」。把人物、地點或概念重新配對後，應是「洋行、領事館」。1860 年代臺灣開港通商後，外商設立洋行，外國也設領事館處理外交事務，臺灣更深地進入國際貿易。</x:v>
      </x:c>
      <x:c r="S90" s="35" t="str">
        <x:v>「洋行、郊」是干擾資料，和本題線索對不上；請改從「洋行、領事館」思考。1860 年代臺灣開港通商後，外商設立洋行，外國也設領事館處理外交事務，臺灣更深地進入國際貿易。</x:v>
      </x:c>
      <x:c r="T90" s="35" t="str">
        <x:v>沒錯，課本中的相關資料支持「洋行、領事館」。1860 年代臺灣開港通商後，外商設立洋行，外國也設領事館處理外交事務，臺灣更深地進入國際貿易。</x:v>
      </x:c>
      <x:c r="U90" s="35" t="str">
        <x:v>題幹條件配對錯誤</x:v>
      </x:c>
      <x:c r="V90" s="35" t="str">
        <x:v>題幹條件配對錯誤</x:v>
      </x:c>
      <x:c r="W90" s="35" t="str">
        <x:v>題幹條件配對錯誤</x:v>
      </x:c>
      <x:c r="X90" s="35" t="str">
        <x:v>判斷正確</x:v>
      </x:c>
      <x:c r="Y90" s="35" t="str">
        <x:v>1860 年代臺灣開港通商後，外商設立洋行，外國也設領事館處理外交事務，臺灣更深地進入國際貿易。</x:v>
      </x:c>
      <x:c r="Z90" s="35" t="str">
        <x:v>早期漢人渡過臺灣海峽來臺，航程受到季風、海象與船隻條件影響；『黑水溝』常指澎湖與臺灣島間的危險水域。</x:v>
      </x:c>
      <x:c r="AA90" s="35" t="str">
        <x:v>清代開墾需要穩定水源，因此各地興建水圳並建立分水、維修規則；瑠公圳位於北部。</x:v>
      </x:c>
      <x:c r="AB90" s="35" t="str">
        <x:v>A</x:v>
      </x:c>
      <x:c r="AC90" s="35" t="str">
        <x:v>這項說明能直接支持「洋行、領事館」，也補上題目背後的課本知識。</x:v>
      </x:c>
      <x:c r="AD90" s="35" t="str">
        <x:v>這項知識本身可能正確，但屬於其他單元，不能用來證明本題答案。</x:v>
      </x:c>
      <x:c r="AE90" s="35" t="str">
        <x:v>這段資料談的是另一個主題，和目前題幹缺少直接關係。</x:v>
      </x:c>
      <x:c r="AF90" s="35" t="str">
        <x:v>回到課本地圖、時間線或表格，找出能再次驗證這個答案的資料。</x:v>
      </x:c>
      <x:c r="AG90" s="35" t="str">
        <x:v>月考卷B</x:v>
      </x:c>
      <x:c r="AH90" s="35" t="str">
        <x:v>B02_5下社會月考卷_第二~三單元_教用_.pdf</x:v>
      </x:c>
      <x:c r="AI90" s="35" t="n">
        <x:v>7</x:v>
      </x:c>
    </x:row>
    <x:row r="91" ht="76" customHeight="1">
      <x:c r="A91" s="35" t="str">
        <x:v>5B-U2</x:v>
      </x:c>
      <x:c r="B91" s="35" t="str">
        <x:v>五下</x:v>
      </x:c>
      <x:c r="C91" s="35" t="n">
        <x:v>2</x:v>
      </x:c>
      <x:c r="D91" s="35" t="str">
        <x:v>開港通商後的臺灣</x:v>
      </x:c>
      <x:c r="E91" s="35" t="str">
        <x:v>5B-U2-PAPER</x:v>
      </x:c>
      <x:c r="F91" s="35" t="n">
        <x:v>12</x:v>
      </x:c>
      <x:c r="G91" s="35" t="str">
        <x:v>隨堂卷</x:v>
      </x:c>
      <x:c r="H91" s="35" t="str">
        <x:v>「△為英國外交官，他發布了臺灣最早的鳥類及植物名錄，是自然生態研究的先驅者」，上述的△指的是誰？</x:v>
      </x:c>
      <x:c r="I91" s="35" t="str">
        <x:v>巴克禮</x:v>
      </x:c>
      <x:c r="J91" s="35" t="str">
        <x:v>陶德</x:v>
      </x:c>
      <x:c r="K91" s="35" t="str">
        <x:v>斯文豪</x:v>
      </x:c>
      <x:c r="L91" s="35" t="str">
        <x:v>馬偕</x:v>
      </x:c>
      <x:c r="M91" s="35" t="str">
        <x:v>C</x:v>
      </x:c>
      <x:c r="N91" s="35" t="str">
        <x:v>斯文豪</x:v>
      </x:c>
      <x:c r="O91" s="35" t="str">
        <x:v>把人物和他參與的事件、政策或地點配對。</x:v>
      </x:c>
      <x:c r="P91" s="35" t="str">
        <x:v>依課本內容，這題應選「斯文豪」。巴克禮在臺南從事傳教與教育，使用羅馬字推廣閱讀，並發行《臺灣府城教會報》。</x:v>
      </x:c>
      <x:c r="Q91" s="35" t="str">
        <x:v>先不要選「巴克禮」。把人物、地點或概念重新配對後，應是「斯文豪」。巴克禮在臺南從事傳教與教育，使用羅馬字推廣閱讀，並發行《臺灣府城教會報》。</x:v>
      </x:c>
      <x:c r="R91" s="35" t="str">
        <x:v>「陶德」是干擾資料，和本題線索對不上；請改從「斯文豪」思考。巴克禮在臺南從事傳教與教育，使用羅馬字推廣閱讀，並發行《臺灣府城教會報》。</x:v>
      </x:c>
      <x:c r="S91" s="35" t="str">
        <x:v>這項選擇成立；「斯文豪」符合題目要求。巴克禮在臺南從事傳教與教育，使用羅馬字推廣閱讀，並發行《臺灣府城教會報》。</x:v>
      </x:c>
      <x:c r="T91" s="35" t="str">
        <x:v>選項「馬偕」混入了不同背景的資料。回看題幹，應選「斯文豪」。巴克禮在臺南從事傳教與教育，使用羅馬字推廣閱讀，並發行《臺灣府城教會報》。</x:v>
      </x:c>
      <x:c r="U91" s="35" t="str">
        <x:v>題幹條件配對錯誤</x:v>
      </x:c>
      <x:c r="V91" s="35" t="str">
        <x:v>題幹條件配對錯誤</x:v>
      </x:c>
      <x:c r="W91" s="35" t="str">
        <x:v>判斷正確</x:v>
      </x:c>
      <x:c r="X91" s="35" t="str">
        <x:v>題幹條件配對錯誤</x:v>
      </x:c>
      <x:c r="Y91" s="35" t="str">
        <x:v>巴克禮在臺南從事傳教與教育，使用羅馬字推廣閱讀，並發行《臺灣府城教會報》。</x:v>
      </x:c>
      <x:c r="Z91" s="35" t="str">
        <x:v>這題要從清代移民、開墾、族群互動與地方生活的背景判斷。</x:v>
      </x:c>
      <x:c r="AA91" s="35" t="str">
        <x:v>早期漢人渡過臺灣海峽來臺，航程受到季風、海象與船隻條件影響；『黑水溝』常指澎湖與臺灣島間的危險水域。</x:v>
      </x:c>
      <x:c r="AB91" s="35" t="str">
        <x:v>A</x:v>
      </x:c>
      <x:c r="AC91" s="35" t="str">
        <x:v>這項說明能直接支持「斯文豪」，也補上題目背後的課本知識。</x:v>
      </x:c>
      <x:c r="AD91" s="35" t="str">
        <x:v>這項知識本身可能正確，但屬於其他單元，不能用來證明本題答案。</x:v>
      </x:c>
      <x:c r="AE91" s="35" t="str">
        <x:v>這段資料談的是另一個主題，和目前題幹缺少直接關係。</x:v>
      </x:c>
      <x:c r="AF91" s="35" t="str">
        <x:v>回到課本地圖、時間線或表格，找出能再次驗證這個答案的資料。</x:v>
      </x:c>
      <x:c r="AG91" s="35" t="str">
        <x:v>隨堂卷</x:v>
      </x:c>
      <x:c r="AH91" s="35" t="str">
        <x:v>02_5下社會隨堂卷_第二單元開港通商後的臺灣_教用.pdf</x:v>
      </x:c>
      <x:c r="AI91" s="35" t="n">
        <x:v>7</x:v>
      </x:c>
    </x:row>
    <x:row r="92" ht="76" customHeight="1">
      <x:c r="A92" s="35" t="str">
        <x:v>5B-U2</x:v>
      </x:c>
      <x:c r="B92" s="35" t="str">
        <x:v>五下</x:v>
      </x:c>
      <x:c r="C92" s="35" t="n">
        <x:v>2</x:v>
      </x:c>
      <x:c r="D92" s="35" t="str">
        <x:v>開港通商後的臺灣</x:v>
      </x:c>
      <x:c r="E92" s="35" t="str">
        <x:v>5B-U2-PAPER</x:v>
      </x:c>
      <x:c r="F92" s="35" t="n">
        <x:v>13</x:v>
      </x:c>
      <x:c r="G92" s="35" t="str">
        <x:v>月考卷A</x:v>
      </x:c>
      <x:c r="H92" s="35" t="str">
        <x:v>清帝國開放通商港口後，臺灣經濟重心逐漸由南部轉移到北部，主要原因是什麼？</x:v>
      </x:c>
      <x:c r="I92" s="35" t="str">
        <x:v>北部為經濟作物的重要產區</x:v>
      </x:c>
      <x:c r="J92" s="35" t="str">
        <x:v>北部治安較好</x:v>
      </x:c>
      <x:c r="K92" s="35" t="str">
        <x:v>南部沒有適合航行的港口</x:v>
      </x:c>
      <x:c r="L92" s="35" t="str">
        <x:v>南部發生戰爭</x:v>
      </x:c>
      <x:c r="M92" s="35" t="str">
        <x:v>A</x:v>
      </x:c>
      <x:c r="N92" s="35" t="str">
        <x:v>北部為經濟作物的重要產區</x:v>
      </x:c>
      <x:c r="O92" s="35" t="str">
        <x:v>找出題幹中的原因與結果，檢查兩者是否能連起來。</x:v>
      </x:c>
      <x:c r="P92" s="35" t="str">
        <x:v>把題幹線索和課本資料對照，可找到「北部為經濟作物的重要產區」。開港後茶葉等商品從北部輸出，帶動大稻埕與北部港市發展，也使經濟重心逐漸北移。</x:v>
      </x:c>
      <x:c r="Q92" s="35" t="str">
        <x:v>答對了，「北部為經濟作物的重要產區」和題幹線索相符。開港後茶葉等商品從北部輸出，帶動大稻埕與北部港市發展，也使經濟重心逐漸北移。</x:v>
      </x:c>
      <x:c r="R92" s="35" t="str">
        <x:v>這題不是在找「北部治安較好」。對照課本後，「北部為經濟作物的重要產區」才符合題意。開港後茶葉等商品從北部輸出，帶動大稻埕與北部港市發展，也使經濟重心逐漸北移。</x:v>
      </x:c>
      <x:c r="S92" s="35" t="str">
        <x:v>選項「南部沒有適合航行的港口」混入了不同背景的資料。回看題幹，應選「北部為經濟作物的重要產區」。開港後茶葉等商品從北部輸出，帶動大稻埕與北部港市發展，也使經濟重心逐漸北移。</x:v>
      </x:c>
      <x:c r="T92" s="35" t="str">
        <x:v>「南部發生戰爭」沒有符合題幹限定的條件。正確方向是「北部為經濟作物的重要產區」；開港後茶葉等商品從北部輸出，帶動大稻埕與北部港市發展，也使經濟重心逐漸北移。</x:v>
      </x:c>
      <x:c r="U92" s="35" t="str">
        <x:v>判斷正確</x:v>
      </x:c>
      <x:c r="V92" s="35" t="str">
        <x:v>題幹條件配對錯誤</x:v>
      </x:c>
      <x:c r="W92" s="35" t="str">
        <x:v>題幹條件配對錯誤</x:v>
      </x:c>
      <x:c r="X92" s="35" t="str">
        <x:v>題幹條件配對錯誤</x:v>
      </x:c>
      <x:c r="Y92" s="35" t="str">
        <x:v>開港後茶葉等商品從北部輸出，帶動大稻埕與北部港市發展，也使經濟重心逐漸北移。</x:v>
      </x:c>
      <x:c r="Z92" s="35" t="str">
        <x:v>這題要從清代移民、開墾、族群互動與地方生活的背景判斷。</x:v>
      </x:c>
      <x:c r="AA92" s="35" t="str">
        <x:v>這題要比較發電方式的條件、限制與對居民或環境的影響。</x:v>
      </x:c>
      <x:c r="AB92" s="35" t="str">
        <x:v>A</x:v>
      </x:c>
      <x:c r="AC92" s="35" t="str">
        <x:v>這項說明能直接支持「北部為經濟作物的重要產區」，也補上題目背後的課本知識。</x:v>
      </x:c>
      <x:c r="AD92" s="35" t="str">
        <x:v>這項知識本身可能正確，但屬於其他單元，不能用來證明本題答案。</x:v>
      </x:c>
      <x:c r="AE92" s="35" t="str">
        <x:v>這段資料談的是另一個主題，和目前題幹缺少直接關係。</x:v>
      </x:c>
      <x:c r="AF92" s="35" t="str">
        <x:v>回到課本地圖、時間線或表格，找出能再次驗證這個答案的資料。</x:v>
      </x:c>
      <x:c r="AG92" s="35" t="str">
        <x:v>月考卷A</x:v>
      </x:c>
      <x:c r="AH92" s="35" t="str">
        <x:v>A04_5下社會月考卷_第一~二單元_教用_.pdf</x:v>
      </x:c>
      <x:c r="AI92" s="35" t="n">
        <x:v>2</x:v>
      </x:c>
    </x:row>
    <x:row r="93" ht="76" customHeight="1">
      <x:c r="A93" s="35" t="str">
        <x:v>5B-U2</x:v>
      </x:c>
      <x:c r="B93" s="35" t="str">
        <x:v>五下</x:v>
      </x:c>
      <x:c r="C93" s="35" t="n">
        <x:v>2</x:v>
      </x:c>
      <x:c r="D93" s="35" t="str">
        <x:v>開港通商後的臺灣</x:v>
      </x:c>
      <x:c r="E93" s="35" t="str">
        <x:v>5B-U2-PAPER</x:v>
      </x:c>
      <x:c r="F93" s="35" t="n">
        <x:v>14</x:v>
      </x:c>
      <x:c r="G93" s="35" t="str">
        <x:v>隨堂卷</x:v>
      </x:c>
      <x:c r="H93" s="35" t="str">
        <x:v>清帝國時期的臺灣府，早期是以竹子及木柵築城，在下列哪個事件後改建為土城？</x:v>
      </x:c>
      <x:c r="I93" s="35" t="str">
        <x:v>八瑤灣事件</x:v>
      </x:c>
      <x:c r="J93" s="35" t="str">
        <x:v>滬尾之役</x:v>
      </x:c>
      <x:c r="K93" s="35" t="str">
        <x:v>林爽文事件</x:v>
      </x:c>
      <x:c r="L93" s="35" t="str">
        <x:v>朱一貴事件</x:v>
      </x:c>
      <x:c r="M93" s="35" t="str">
        <x:v>C</x:v>
      </x:c>
      <x:c r="N93" s="35" t="str">
        <x:v>林爽文事件</x:v>
      </x:c>
      <x:c r="O93" s="35" t="str">
        <x:v>抓住題幹的關鍵詞，再比較每個選項和課本內容是否相符。</x:v>
      </x:c>
      <x:c r="P93" s="35" t="str">
        <x:v>「林爽文事件」最符合題目所問的時間、地點或概念。劉銘傳是臺灣建省後的首任巡撫，推動鐵路、電報等建設；清法戰爭期間也加強淡水防務。</x:v>
      </x:c>
      <x:c r="Q93" s="35" t="str">
        <x:v>這題不是在找「八瑤灣事件」。對照課本後，「林爽文事件」才符合題意。劉銘傳是臺灣建省後的首任巡撫，推動鐵路、電報等建設；清法戰爭期間也加強淡水防務。</x:v>
      </x:c>
      <x:c r="R93" s="35" t="str">
        <x:v>選項「滬尾之役」混入了不同背景的資料。回看題幹，應選「林爽文事件」。劉銘傳是臺灣建省後的首任巡撫，推動鐵路、電報等建設；清法戰爭期間也加強淡水防務。</x:v>
      </x:c>
      <x:c r="S93" s="35" t="str">
        <x:v>判斷正確！你找到了「林爽文事件」這個關鍵。劉銘傳是臺灣建省後的首任巡撫，推動鐵路、電報等建設；清法戰爭期間也加強淡水防務。</x:v>
      </x:c>
      <x:c r="T93" s="35" t="str">
        <x:v>先不要選「朱一貴事件」。把人物、地點或概念重新配對後，應是「林爽文事件」。劉銘傳是臺灣建省後的首任巡撫，推動鐵路、電報等建設；清法戰爭期間也加強淡水防務。</x:v>
      </x:c>
      <x:c r="U93" s="35" t="str">
        <x:v>題幹條件配對錯誤</x:v>
      </x:c>
      <x:c r="V93" s="35" t="str">
        <x:v>題幹條件配對錯誤</x:v>
      </x:c>
      <x:c r="W93" s="35" t="str">
        <x:v>判斷正確</x:v>
      </x:c>
      <x:c r="X93" s="35" t="str">
        <x:v>題幹條件配對錯誤</x:v>
      </x:c>
      <x:c r="Y93" s="35" t="str">
        <x:v>劉銘傳是臺灣建省後的首任巡撫，推動鐵路、電報等建設；清法戰爭期間也加強淡水防務。</x:v>
      </x:c>
      <x:c r="Z93" s="35" t="str">
        <x:v>日本統治時期增設水力與火力發電設備，電燈與電力逐漸進入城市及生活，但供電系統仍需維護。</x:v>
      </x:c>
      <x:c r="AA93" s="35" t="str">
        <x:v>臺灣位於板塊交界，地底熱能豐富，具有發展地熱發電的條件，但探勘與建置成本較高。</x:v>
      </x:c>
      <x:c r="AB93" s="35" t="str">
        <x:v>A</x:v>
      </x:c>
      <x:c r="AC93" s="35" t="str">
        <x:v>這項說明能直接支持「林爽文事件」，也補上題目背後的課本知識。</x:v>
      </x:c>
      <x:c r="AD93" s="35" t="str">
        <x:v>這項知識本身可能正確，但屬於其他單元，不能用來證明本題答案。</x:v>
      </x:c>
      <x:c r="AE93" s="35" t="str">
        <x:v>這段資料談的是另一個主題，和目前題幹缺少直接關係。</x:v>
      </x:c>
      <x:c r="AF93" s="35" t="str">
        <x:v>回到課本地圖、時間線或表格，找出能再次驗證這個答案的資料。</x:v>
      </x:c>
      <x:c r="AG93" s="35" t="str">
        <x:v>隨堂卷</x:v>
      </x:c>
      <x:c r="AH93" s="35" t="str">
        <x:v>02_5下社會隨堂卷_第二單元開港通商後的臺灣_教用.pdf</x:v>
      </x:c>
      <x:c r="AI93" s="35" t="n">
        <x:v>8</x:v>
      </x:c>
    </x:row>
    <x:row r="94" ht="76" customHeight="1">
      <x:c r="A94" s="35" t="str">
        <x:v>5B-U2</x:v>
      </x:c>
      <x:c r="B94" s="35" t="str">
        <x:v>五下</x:v>
      </x:c>
      <x:c r="C94" s="35" t="n">
        <x:v>2</x:v>
      </x:c>
      <x:c r="D94" s="35" t="str">
        <x:v>開港通商後的臺灣</x:v>
      </x:c>
      <x:c r="E94" s="35" t="str">
        <x:v>5B-U2-PAPER</x:v>
      </x:c>
      <x:c r="F94" s="35" t="n">
        <x:v>15</x:v>
      </x:c>
      <x:c r="G94" s="35" t="str">
        <x:v>月考卷A</x:v>
      </x:c>
      <x:c r="H94" s="35" t="str">
        <x:v>下列哪一項是劉銘傳為了加強淡水附近的防禦，而興建的設施？</x:v>
      </x:c>
      <x:c r="I94" s="35" t="str">
        <x:v>鳳山縣城</x:v>
      </x:c>
      <x:c r="J94" s="35" t="str">
        <x:v>恆春縣城門</x:v>
      </x:c>
      <x:c r="K94" s="35" t="str">
        <x:v>滬尾砲臺</x:v>
      </x:c>
      <x:c r="L94" s="35" t="str">
        <x:v>二鯤鯓砲臺</x:v>
      </x:c>
      <x:c r="M94" s="35" t="str">
        <x:v>C</x:v>
      </x:c>
      <x:c r="N94" s="35" t="str">
        <x:v>滬尾砲臺</x:v>
      </x:c>
      <x:c r="O94" s="35" t="str">
        <x:v>抓住題幹的關鍵詞，再比較每個選項和課本內容是否相符。</x:v>
      </x:c>
      <x:c r="P94" s="35" t="str">
        <x:v>判斷重點不在字數，而在內容是否符合課本；答案是「滬尾砲臺」。劉銘傳是臺灣建省後的首任巡撫，推動鐵路、電報等建設；清法戰爭期間也加強淡水防務。</x:v>
      </x:c>
      <x:c r="Q94" s="35" t="str">
        <x:v>選項「鳳山縣城」混入了不同背景的資料。回看題幹，應選「滬尾砲臺」。劉銘傳是臺灣建省後的首任巡撫，推動鐵路、電報等建設；清法戰爭期間也加強淡水防務。</x:v>
      </x:c>
      <x:c r="R94" s="35" t="str">
        <x:v>「恆春縣城門」沒有符合題幹限定的條件。正確方向是「滬尾砲臺」；劉銘傳是臺灣建省後的首任巡撫，推動鐵路、電報等建設；清法戰爭期間也加強淡水防務。</x:v>
      </x:c>
      <x:c r="S94" s="35" t="str">
        <x:v>沒錯，課本中的相關資料支持「滬尾砲臺」。劉銘傳是臺灣建省後的首任巡撫，推動鐵路、電報等建設；清法戰爭期間也加強淡水防務。</x:v>
      </x:c>
      <x:c r="T94" s="35" t="str">
        <x:v>「二鯤鯓砲臺」是干擾資料，和本題線索對不上；請改從「滬尾砲臺」思考。劉銘傳是臺灣建省後的首任巡撫，推動鐵路、電報等建設；清法戰爭期間也加強淡水防務。</x:v>
      </x:c>
      <x:c r="U94" s="35" t="str">
        <x:v>題幹條件配對錯誤</x:v>
      </x:c>
      <x:c r="V94" s="35" t="str">
        <x:v>題幹條件配對錯誤</x:v>
      </x:c>
      <x:c r="W94" s="35" t="str">
        <x:v>判斷正確</x:v>
      </x:c>
      <x:c r="X94" s="35" t="str">
        <x:v>題幹條件配對錯誤</x:v>
      </x:c>
      <x:c r="Y94" s="35" t="str">
        <x:v>劉銘傳是臺灣建省後的首任巡撫，推動鐵路、電報等建設；清法戰爭期間也加強淡水防務。</x:v>
      </x:c>
      <x:c r="Z94" s="35" t="str">
        <x:v>火力發電依靠煤、石油或天然氣等燃料，不屬於再生能源；再生能源則可在自然循環中持續補充。</x:v>
      </x:c>
      <x:c r="AA94" s="35" t="str">
        <x:v>水力發電利用水流，但會受降雨與水量影響，興建設施也可能改變河川環境。</x:v>
      </x:c>
      <x:c r="AB94" s="35" t="str">
        <x:v>A</x:v>
      </x:c>
      <x:c r="AC94" s="35" t="str">
        <x:v>這項說明能直接支持「滬尾砲臺」，也補上題目背後的課本知識。</x:v>
      </x:c>
      <x:c r="AD94" s="35" t="str">
        <x:v>這項知識本身可能正確，但屬於其他單元，不能用來證明本題答案。</x:v>
      </x:c>
      <x:c r="AE94" s="35" t="str">
        <x:v>這段資料談的是另一個主題，和目前題幹缺少直接關係。</x:v>
      </x:c>
      <x:c r="AF94" s="35" t="str">
        <x:v>回到課本地圖、時間線或表格，找出能再次驗證這個答案的資料。</x:v>
      </x:c>
      <x:c r="AG94" s="35" t="str">
        <x:v>月考卷A</x:v>
      </x:c>
      <x:c r="AH94" s="35" t="str">
        <x:v>A04_5下社會月考卷_第一~二單元_教用_.pdf</x:v>
      </x:c>
      <x:c r="AI94" s="35" t="n">
        <x:v>3</x:v>
      </x:c>
    </x:row>
    <x:row r="95" ht="76" customHeight="1">
      <x:c r="A95" s="34" t="str">
        <x:v>5B-U3</x:v>
      </x:c>
      <x:c r="B95" s="34" t="str">
        <x:v>五下</x:v>
      </x:c>
      <x:c r="C95" s="34" t="n">
        <x:v>3</x:v>
      </x:c>
      <x:c r="D95" s="34" t="str">
        <x:v>臺灣電力的發展</x:v>
      </x:c>
      <x:c r="E95" s="34" t="str">
        <x:v>5B-U3-PAPER</x:v>
      </x:c>
      <x:c r="F95" s="34" t="n">
        <x:v>1</x:v>
      </x:c>
      <x:c r="G95" s="34" t="str">
        <x:v>隨堂卷</x:v>
      </x:c>
      <x:c r="H95" s="34" t="str">
        <x:v>臺灣電力發展初期，主要會利用水庫、水壩及河流的哪一種特性來產生能量？</x:v>
      </x:c>
      <x:c r="I95" s="34" t="str">
        <x:v>高儲水量</x:v>
      </x:c>
      <x:c r="J95" s="34" t="str">
        <x:v>高低落差</x:v>
      </x:c>
      <x:c r="K95" s="34" t="str">
        <x:v>高效率</x:v>
      </x:c>
      <x:c r="L95" s="34" t="str">
        <x:v>高輻射</x:v>
      </x:c>
      <x:c r="M95" s="34" t="str">
        <x:v>B</x:v>
      </x:c>
      <x:c r="N95" s="34" t="str">
        <x:v>高低落差</x:v>
      </x:c>
      <x:c r="O95" s="34" t="str">
        <x:v>抓住題幹的關鍵詞，再比較每個選項和課本內容是否相符。</x:v>
      </x:c>
      <x:c r="P95" s="34" t="str">
        <x:v>關鍵答案是「高低落差」。這題要比較發電方式的條件、限制與對居民或環境的影響。</x:v>
      </x:c>
      <x:c r="Q95" s="34" t="str">
        <x:v>「高儲水量」沒有符合題幹限定的條件。正確方向是「高低落差」；這題要比較發電方式的條件、限制與對居民或環境的影響。</x:v>
      </x:c>
      <x:c r="R95" s="34" t="str">
        <x:v>答對了，「高低落差」和題幹線索相符。這題要比較發電方式的條件、限制與對居民或環境的影響。</x:v>
      </x:c>
      <x:c r="S95" s="34" t="str">
        <x:v>「高效率」是干擾資料，和本題線索對不上；請改從「高低落差」思考。這題要比較發電方式的條件、限制與對居民或環境的影響。</x:v>
      </x:c>
      <x:c r="T95" s="34" t="str">
        <x:v>這題不是在找「高輻射」。對照課本後，「高低落差」才符合題意。這題要比較發電方式的條件、限制與對居民或環境的影響。</x:v>
      </x:c>
      <x:c r="U95" s="34" t="str">
        <x:v>題幹條件配對錯誤</x:v>
      </x:c>
      <x:c r="V95" s="34" t="str">
        <x:v>判斷正確</x:v>
      </x:c>
      <x:c r="W95" s="34" t="str">
        <x:v>題幹條件配對錯誤</x:v>
      </x:c>
      <x:c r="X95" s="34" t="str">
        <x:v>題幹條件配對錯誤</x:v>
      </x:c>
      <x:c r="Y95" s="34" t="str">
        <x:v>這題要比較發電方式的條件、限制與對居民或環境的影響。</x:v>
      </x:c>
      <x:c r="Z95" s="34" t="str">
        <x:v>判斷臺灣附屬島嶼的位置，要以臺灣本島為基準比較方向；綠島與蘭嶼位於本島東南方海域。</x:v>
      </x:c>
      <x:c r="AA95" s="34" t="str">
        <x:v>臺灣東部多陡峭斷崖、西部多平直沙岸、北部多岬灣，南部則可見珊瑚礁海岸；高雄港利用潟湖地形發展。</x:v>
      </x:c>
      <x:c r="AB95" s="34" t="str">
        <x:v>A</x:v>
      </x:c>
      <x:c r="AC95" s="34" t="str">
        <x:v>這項說明能直接支持「高低落差」，也補上題目背後的課本知識。</x:v>
      </x:c>
      <x:c r="AD95" s="34" t="str">
        <x:v>這項知識本身可能正確，但屬於其他單元，不能用來證明本題答案。</x:v>
      </x:c>
      <x:c r="AE95" s="34" t="str">
        <x:v>這段資料談的是另一個主題，和目前題幹缺少直接關係。</x:v>
      </x:c>
      <x:c r="AF95" s="34" t="str">
        <x:v>回到課本地圖、時間線或表格，找出能再次驗證這個答案的資料。</x:v>
      </x:c>
      <x:c r="AG95" s="34" t="str">
        <x:v>隨堂卷</x:v>
      </x:c>
      <x:c r="AH95" s="34" t="str">
        <x:v>03_5下社會隨堂卷_第三單元臺灣電力的發展_教用.pdf</x:v>
      </x:c>
      <x:c r="AI95" s="34" t="n">
        <x:v>1</x:v>
      </x:c>
    </x:row>
    <x:row r="96" ht="76" customHeight="1">
      <x:c r="A96" s="34" t="str">
        <x:v>5B-U3</x:v>
      </x:c>
      <x:c r="B96" s="34" t="str">
        <x:v>五下</x:v>
      </x:c>
      <x:c r="C96" s="34" t="n">
        <x:v>3</x:v>
      </x:c>
      <x:c r="D96" s="34" t="str">
        <x:v>臺灣電力的發展</x:v>
      </x:c>
      <x:c r="E96" s="34" t="str">
        <x:v>5B-U3-PAPER</x:v>
      </x:c>
      <x:c r="F96" s="34" t="n">
        <x:v>2</x:v>
      </x:c>
      <x:c r="G96" s="34" t="str">
        <x:v>月考卷A</x:v>
      </x:c>
      <x:c r="H96" s="34" t="str">
        <x:v>下列哪一種發電方式不屬於再生能源？</x:v>
      </x:c>
      <x:c r="I96" s="34" t="str">
        <x:v>水力發電</x:v>
      </x:c>
      <x:c r="J96" s="34" t="str">
        <x:v>風力發電</x:v>
      </x:c>
      <x:c r="K96" s="34" t="str">
        <x:v>火力發電</x:v>
      </x:c>
      <x:c r="L96" s="34" t="str">
        <x:v>太陽能發電</x:v>
      </x:c>
      <x:c r="M96" s="34" t="str">
        <x:v>C</x:v>
      </x:c>
      <x:c r="N96" s="34" t="str">
        <x:v>火力發電</x:v>
      </x:c>
      <x:c r="O96" s="34" t="str">
        <x:v>先圈出題幹中的否定詞，再逐一檢查四個選項。</x:v>
      </x:c>
      <x:c r="P96" s="34" t="str">
        <x:v>依課本內容，這題應選「火力發電」。火力發電依靠煤、石油或天然氣等燃料，不屬於再生能源；再生能源則可在自然循環中持續補充。</x:v>
      </x:c>
      <x:c r="Q96" s="34" t="str">
        <x:v>先不要選「水力發電」。把人物、地點或概念重新配對後，應是「火力發電」。火力發電依靠煤、石油或天然氣等燃料，不屬於再生能源；再生能源則可在自然循環中持續補充。</x:v>
      </x:c>
      <x:c r="R96" s="34" t="str">
        <x:v>「風力發電」是干擾資料，和本題線索對不上；請改從「火力發電」思考。火力發電依靠煤、石油或天然氣等燃料，不屬於再生能源；再生能源則可在自然循環中持續補充。</x:v>
      </x:c>
      <x:c r="S96" s="34" t="str">
        <x:v>判斷正確！你找到了「火力發電」這個關鍵。火力發電依靠煤、石油或天然氣等燃料，不屬於再生能源；再生能源則可在自然循環中持續補充。</x:v>
      </x:c>
      <x:c r="T96" s="34" t="str">
        <x:v>選項「太陽能發電」混入了不同背景的資料。回看題幹，應選「火力發電」。火力發電依靠煤、石油或天然氣等燃料，不屬於再生能源；再生能源則可在自然循環中持續補充。</x:v>
      </x:c>
      <x:c r="U96" s="34" t="str">
        <x:v>題幹條件配對錯誤</x:v>
      </x:c>
      <x:c r="V96" s="34" t="str">
        <x:v>題幹條件配對錯誤</x:v>
      </x:c>
      <x:c r="W96" s="34" t="str">
        <x:v>判斷正確</x:v>
      </x:c>
      <x:c r="X96" s="34" t="str">
        <x:v>題幹條件配對錯誤</x:v>
      </x:c>
      <x:c r="Y96" s="34" t="str">
        <x:v>火力發電依靠煤、石油或天然氣等燃料，不屬於再生能源；再生能源則可在自然循環中持續補充。</x:v>
      </x:c>
      <x:c r="Z96" s="34" t="str">
        <x:v>社會規範包括風俗、倫理道德、宗教信仰與法律，不同規範的形成方式和強制力並不相同。</x:v>
      </x:c>
      <x:c r="AA96" s="34" t="str">
        <x:v>這題要分清族群文化、生活規範與法律的差異，並尊重資料所指的對象。</x:v>
      </x:c>
      <x:c r="AB96" s="34" t="str">
        <x:v>A</x:v>
      </x:c>
      <x:c r="AC96" s="34" t="str">
        <x:v>這項說明能直接支持「火力發電」，也補上題目背後的課本知識。</x:v>
      </x:c>
      <x:c r="AD96" s="34" t="str">
        <x:v>這項知識本身可能正確，但屬於其他單元，不能用來證明本題答案。</x:v>
      </x:c>
      <x:c r="AE96" s="34" t="str">
        <x:v>這段資料談的是另一個主題，和目前題幹缺少直接關係。</x:v>
      </x:c>
      <x:c r="AF96" s="34" t="str">
        <x:v>回到課本地圖、時間線或表格，找出能再次驗證這個答案的資料。</x:v>
      </x:c>
      <x:c r="AG96" s="34" t="str">
        <x:v>月考卷A</x:v>
      </x:c>
      <x:c r="AH96" s="34" t="str">
        <x:v>A02_5下社會月考卷_第二~三單元_教用_.pdf</x:v>
      </x:c>
      <x:c r="AI96" s="34" t="n">
        <x:v>3</x:v>
      </x:c>
    </x:row>
    <x:row r="97" ht="76" customHeight="1">
      <x:c r="A97" s="34" t="str">
        <x:v>5B-U3</x:v>
      </x:c>
      <x:c r="B97" s="34" t="str">
        <x:v>五下</x:v>
      </x:c>
      <x:c r="C97" s="34" t="n">
        <x:v>3</x:v>
      </x:c>
      <x:c r="D97" s="34" t="str">
        <x:v>臺灣電力的發展</x:v>
      </x:c>
      <x:c r="E97" s="34" t="str">
        <x:v>5B-U3-PAPER</x:v>
      </x:c>
      <x:c r="F97" s="34" t="n">
        <x:v>3</x:v>
      </x:c>
      <x:c r="G97" s="34" t="str">
        <x:v>月考卷B</x:v>
      </x:c>
      <x:c r="H97" s="34" t="str">
        <x:v>下列哪一項是沼氣發電的缺點？</x:v>
      </x:c>
      <x:c r="I97" s="34" t="str">
        <x:v>燃料價格昂貴</x:v>
      </x:c>
      <x:c r="J97" s="34" t="str">
        <x:v>供電容易受氣候影響</x:v>
      </x:c>
      <x:c r="K97" s="34" t="str">
        <x:v>發電過程會排放懸浮微粒等汙染物</x:v>
      </x:c>
      <x:c r="L97" s="34" t="str">
        <x:v>燃料的氣味可能影響住戶</x:v>
      </x:c>
      <x:c r="M97" s="34" t="str">
        <x:v>D</x:v>
      </x:c>
      <x:c r="N97" s="34" t="str">
        <x:v>燃料的氣味可能影響住戶</x:v>
      </x:c>
      <x:c r="O97" s="34" t="str">
        <x:v>抓住題幹的關鍵詞，再比較每個選項和課本內容是否相符。</x:v>
      </x:c>
      <x:c r="P97" s="34" t="str">
        <x:v>把題幹線索和課本資料對照，可找到「燃料的氣味可能影響住戶」。沼氣可由有機廢棄物產生並用來發電，但處理不當的氣味可能影響附近居民。</x:v>
      </x:c>
      <x:c r="Q97" s="34" t="str">
        <x:v>「燃料價格昂貴」是干擾資料，和本題線索對不上；請改從「燃料的氣味可能影響住戶」思考。沼氣可由有機廢棄物產生並用來發電，但處理不當的氣味可能影響附近居民。</x:v>
      </x:c>
      <x:c r="R97" s="34" t="str">
        <x:v>這題不是在找「供電容易受氣候影響」。對照課本後，「燃料的氣味可能影響住戶」才符合題意。沼氣可由有機廢棄物產生並用來發電，但處理不當的氣味可能影響附近居民。</x:v>
      </x:c>
      <x:c r="S97" s="34" t="str">
        <x:v>選項「發電過程會排放懸浮微粒等汙染物」混入了不同背景的資料。回看題幹，應選「燃料的氣味可能影響住戶」。沼氣可由有機廢棄物產生並用來發電，但處理不當的氣味可能影響附近居民。</x:v>
      </x:c>
      <x:c r="T97" s="34" t="str">
        <x:v>沒錯，課本中的相關資料支持「燃料的氣味可能影響住戶」。沼氣可由有機廢棄物產生並用來發電，但處理不當的氣味可能影響附近居民。</x:v>
      </x:c>
      <x:c r="U97" s="34" t="str">
        <x:v>題幹條件配對錯誤</x:v>
      </x:c>
      <x:c r="V97" s="34" t="str">
        <x:v>題幹條件配對錯誤</x:v>
      </x:c>
      <x:c r="W97" s="34" t="str">
        <x:v>題幹條件配對錯誤</x:v>
      </x:c>
      <x:c r="X97" s="34" t="str">
        <x:v>判斷正確</x:v>
      </x:c>
      <x:c r="Y97" s="34" t="str">
        <x:v>沼氣可由有機廢棄物產生並用來發電，但處理不當的氣味可能影響附近居民。</x:v>
      </x:c>
      <x:c r="Z97" s="34" t="str">
        <x:v>社會規範包括風俗、倫理道德、宗教信仰與法律，不同規範的形成方式和強制力並不相同。</x:v>
      </x:c>
      <x:c r="AA97" s="34" t="str">
        <x:v>平埔族群多居住在西部平原，因較早且頻繁與漢人接觸，部分文化受到漢化政策與社會變遷影響。</x:v>
      </x:c>
      <x:c r="AB97" s="34" t="str">
        <x:v>A</x:v>
      </x:c>
      <x:c r="AC97" s="34" t="str">
        <x:v>這項說明能直接支持「燃料的氣味可能影響住戶」，也補上題目背後的課本知識。</x:v>
      </x:c>
      <x:c r="AD97" s="34" t="str">
        <x:v>這項知識本身可能正確，但屬於其他單元，不能用來證明本題答案。</x:v>
      </x:c>
      <x:c r="AE97" s="34" t="str">
        <x:v>這段資料談的是另一個主題，和目前題幹缺少直接關係。</x:v>
      </x:c>
      <x:c r="AF97" s="34" t="str">
        <x:v>回到課本地圖、時間線或表格，找出能再次驗證這個答案的資料。</x:v>
      </x:c>
      <x:c r="AG97" s="34" t="str">
        <x:v>月考卷B</x:v>
      </x:c>
      <x:c r="AH97" s="34" t="str">
        <x:v>B02_5下社會月考卷_第二~三單元_教用_.pdf</x:v>
      </x:c>
      <x:c r="AI97" s="34" t="n">
        <x:v>2</x:v>
      </x:c>
    </x:row>
    <x:row r="98" ht="76" customHeight="1">
      <x:c r="A98" s="34" t="str">
        <x:v>5B-U3</x:v>
      </x:c>
      <x:c r="B98" s="34" t="str">
        <x:v>五下</x:v>
      </x:c>
      <x:c r="C98" s="34" t="n">
        <x:v>3</x:v>
      </x:c>
      <x:c r="D98" s="34" t="str">
        <x:v>臺灣電力的發展</x:v>
      </x:c>
      <x:c r="E98" s="34" t="str">
        <x:v>5B-U3-PAPER</x:v>
      </x:c>
      <x:c r="F98" s="34" t="n">
        <x:v>4</x:v>
      </x:c>
      <x:c r="G98" s="34" t="str">
        <x:v>隨堂卷</x:v>
      </x:c>
      <x:c r="H98" s="34" t="str">
        <x:v>臺灣目前的電力來源，主要依靠下列哪一種發電方式？</x:v>
      </x:c>
      <x:c r="I98" s="34" t="str">
        <x:v>太陽能發電</x:v>
      </x:c>
      <x:c r="J98" s="34" t="str">
        <x:v>風力發電</x:v>
      </x:c>
      <x:c r="K98" s="34" t="str">
        <x:v>火力發電</x:v>
      </x:c>
      <x:c r="L98" s="34" t="str">
        <x:v>核能發電</x:v>
      </x:c>
      <x:c r="M98" s="34" t="str">
        <x:v>C</x:v>
      </x:c>
      <x:c r="N98" s="34" t="str">
        <x:v>火力發電</x:v>
      </x:c>
      <x:c r="O98" s="34" t="str">
        <x:v>抓住題幹的關鍵詞，再比較每個選項和課本內容是否相符。</x:v>
      </x:c>
      <x:c r="P98" s="34" t="str">
        <x:v>「火力發電」最符合題目所問的時間、地點或概念。火力發電依靠煤、石油或天然氣等燃料，不屬於再生能源；再生能源則可在自然循環中持續補充。</x:v>
      </x:c>
      <x:c r="Q98" s="34" t="str">
        <x:v>這題不是在找「太陽能發電」。對照課本後，「火力發電」才符合題意。火力發電依靠煤、石油或天然氣等燃料，不屬於再生能源；再生能源則可在自然循環中持續補充。</x:v>
      </x:c>
      <x:c r="R98" s="34" t="str">
        <x:v>選項「風力發電」混入了不同背景的資料。回看題幹，應選「火力發電」。火力發電依靠煤、石油或天然氣等燃料，不屬於再生能源；再生能源則可在自然循環中持續補充。</x:v>
      </x:c>
      <x:c r="S98" s="34" t="str">
        <x:v>這項選擇成立；「火力發電」符合題目要求。火力發電依靠煤、石油或天然氣等燃料，不屬於再生能源；再生能源則可在自然循環中持續補充。</x:v>
      </x:c>
      <x:c r="T98" s="34" t="str">
        <x:v>先不要選「核能發電」。把人物、地點或概念重新配對後，應是「火力發電」。火力發電依靠煤、石油或天然氣等燃料，不屬於再生能源；再生能源則可在自然循環中持續補充。</x:v>
      </x:c>
      <x:c r="U98" s="34" t="str">
        <x:v>題幹條件配對錯誤</x:v>
      </x:c>
      <x:c r="V98" s="34" t="str">
        <x:v>題幹條件配對錯誤</x:v>
      </x:c>
      <x:c r="W98" s="34" t="str">
        <x:v>判斷正確</x:v>
      </x:c>
      <x:c r="X98" s="34" t="str">
        <x:v>題幹條件配對錯誤</x:v>
      </x:c>
      <x:c r="Y98" s="34" t="str">
        <x:v>火力發電依靠煤、石油或天然氣等燃料，不屬於再生能源；再生能源則可在自然循環中持續補充。</x:v>
      </x:c>
      <x:c r="Z98" s="34" t="str">
        <x:v>臺灣周邊海流交會，帶來多樣漁業資源；過度捕撈會使魚群減少，因此需要適當的取用與管理。</x:v>
      </x:c>
      <x:c r="AA98" s="34" t="str">
        <x:v>臺灣礦業曾帶動地方發展，但多數礦產逐漸停採；花蓮仍有大理石礦，瑞芳、九份過去則以煤或金礦聞名。</x:v>
      </x:c>
      <x:c r="AB98" s="34" t="str">
        <x:v>A</x:v>
      </x:c>
      <x:c r="AC98" s="34" t="str">
        <x:v>這項說明能直接支持「火力發電」，也補上題目背後的課本知識。</x:v>
      </x:c>
      <x:c r="AD98" s="34" t="str">
        <x:v>這項知識本身可能正確，但屬於其他單元，不能用來證明本題答案。</x:v>
      </x:c>
      <x:c r="AE98" s="34" t="str">
        <x:v>這段資料談的是另一個主題，和目前題幹缺少直接關係。</x:v>
      </x:c>
      <x:c r="AF98" s="34" t="str">
        <x:v>回到課本地圖、時間線或表格，找出能再次驗證這個答案的資料。</x:v>
      </x:c>
      <x:c r="AG98" s="34" t="str">
        <x:v>隨堂卷</x:v>
      </x:c>
      <x:c r="AH98" s="34" t="str">
        <x:v>03_5下社會隨堂卷_第三單元臺灣電力的發展_教用.pdf</x:v>
      </x:c>
      <x:c r="AI98" s="34" t="n">
        <x:v>3</x:v>
      </x:c>
    </x:row>
    <x:row r="99" ht="76" customHeight="1">
      <x:c r="A99" s="34" t="str">
        <x:v>5B-U3</x:v>
      </x:c>
      <x:c r="B99" s="34" t="str">
        <x:v>五下</x:v>
      </x:c>
      <x:c r="C99" s="34" t="n">
        <x:v>3</x:v>
      </x:c>
      <x:c r="D99" s="34" t="str">
        <x:v>臺灣電力的發展</x:v>
      </x:c>
      <x:c r="E99" s="34" t="str">
        <x:v>5B-U3-PAPER</x:v>
      </x:c>
      <x:c r="F99" s="34" t="n">
        <x:v>5</x:v>
      </x:c>
      <x:c r="G99" s="34" t="str">
        <x:v>月考卷A</x:v>
      </x:c>
      <x:c r="H99" s="34" t="str">
        <x:v>下列哪一項是水力發電的缺點？</x:v>
      </x:c>
      <x:c r="I99" s="34" t="str">
        <x:v>燃料價格昂貴</x:v>
      </x:c>
      <x:c r="J99" s="34" t="str">
        <x:v>供電容易受氣候影響</x:v>
      </x:c>
      <x:c r="K99" s="34" t="str">
        <x:v>發電過程會排放二氧化碳</x:v>
      </x:c>
      <x:c r="L99" s="34" t="str">
        <x:v>目前還無法有效處理發電過程產生的廢棄物</x:v>
      </x:c>
      <x:c r="M99" s="34" t="str">
        <x:v>B</x:v>
      </x:c>
      <x:c r="N99" s="34" t="str">
        <x:v>供電容易受氣候影響</x:v>
      </x:c>
      <x:c r="O99" s="34" t="str">
        <x:v>抓住題幹的關鍵詞，再比較每個選項和課本內容是否相符。</x:v>
      </x:c>
      <x:c r="P99" s="34" t="str">
        <x:v>判斷重點不在字數，而在內容是否符合課本；答案是「供電容易受氣候影響」。水力發電利用水流，但會受降雨與水量影響，興建設施也可能改變河川環境。</x:v>
      </x:c>
      <x:c r="Q99" s="34" t="str">
        <x:v>選項「燃料價格昂貴」混入了不同背景的資料。回看題幹，應選「供電容易受氣候影響」。水力發電利用水流，但會受降雨與水量影響，興建設施也可能改變河川環境。</x:v>
      </x:c>
      <x:c r="R99" s="34" t="str">
        <x:v>答對了，「供電容易受氣候影響」和題幹線索相符。水力發電利用水流，但會受降雨與水量影響，興建設施也可能改變河川環境。</x:v>
      </x:c>
      <x:c r="S99" s="34" t="str">
        <x:v>先不要選「發電過程會排放二氧化碳」。把人物、地點或概念重新配對後，應是「供電容易受氣候影響」。水力發電利用水流，但會受降雨與水量影響，興建設施也可能改變河川環境。</x:v>
      </x:c>
      <x:c r="T99" s="34" t="str">
        <x:v>「目前還無法有效處理發電過程產生的廢棄物」是干擾資料，和本題線索對不上；請改從「供電容易受氣候影響」思考。水力發電利用水流，但會受降雨與水量影響，興建設施也可能改變河川環境。</x:v>
      </x:c>
      <x:c r="U99" s="34" t="str">
        <x:v>題幹條件配對錯誤</x:v>
      </x:c>
      <x:c r="V99" s="34" t="str">
        <x:v>判斷正確</x:v>
      </x:c>
      <x:c r="W99" s="34" t="str">
        <x:v>題幹條件配對錯誤</x:v>
      </x:c>
      <x:c r="X99" s="34" t="str">
        <x:v>題幹條件配對錯誤</x:v>
      </x:c>
      <x:c r="Y99" s="34" t="str">
        <x:v>水力發電利用水流，但會受降雨與水量影響，興建設施也可能改變河川環境。</x:v>
      </x:c>
      <x:c r="Z99" s="34" t="str">
        <x:v>臺灣周邊海流交會，帶來多樣漁業資源；過度捕撈會使魚群減少，因此需要適當的取用與管理。</x:v>
      </x:c>
      <x:c r="AA99" s="34" t="str">
        <x:v>資源產業轉型時，可透過生態旅遊或文化保存創造新機會，但仍須評估對地方與環境的影響。</x:v>
      </x:c>
      <x:c r="AB99" s="34" t="str">
        <x:v>A</x:v>
      </x:c>
      <x:c r="AC99" s="34" t="str">
        <x:v>這項說明能直接支持「供電容易受氣候影響」，也補上題目背後的課本知識。</x:v>
      </x:c>
      <x:c r="AD99" s="34" t="str">
        <x:v>這項知識本身可能正確，但屬於其他單元，不能用來證明本題答案。</x:v>
      </x:c>
      <x:c r="AE99" s="34" t="str">
        <x:v>這段資料談的是另一個主題，和目前題幹缺少直接關係。</x:v>
      </x:c>
      <x:c r="AF99" s="34" t="str">
        <x:v>回到課本地圖、時間線或表格，找出能再次驗證這個答案的資料。</x:v>
      </x:c>
      <x:c r="AG99" s="34" t="str">
        <x:v>月考卷A</x:v>
      </x:c>
      <x:c r="AH99" s="34" t="str">
        <x:v>A02_5下社會月考卷_第二~三單元_教用_.pdf</x:v>
      </x:c>
      <x:c r="AI99" s="34" t="n">
        <x:v>7</x:v>
      </x:c>
    </x:row>
    <x:row r="100" ht="76" customHeight="1">
      <x:c r="A100" s="34" t="str">
        <x:v>5B-U3</x:v>
      </x:c>
      <x:c r="B100" s="34" t="str">
        <x:v>五下</x:v>
      </x:c>
      <x:c r="C100" s="34" t="n">
        <x:v>3</x:v>
      </x:c>
      <x:c r="D100" s="34" t="str">
        <x:v>臺灣電力的發展</x:v>
      </x:c>
      <x:c r="E100" s="34" t="str">
        <x:v>5B-U3-PAPER</x:v>
      </x:c>
      <x:c r="F100" s="34" t="n">
        <x:v>6</x:v>
      </x:c>
      <x:c r="G100" s="34" t="str">
        <x:v>月考卷B</x:v>
      </x:c>
      <x:c r="H100" s="34" t="str">
        <x:v>下列哪一項是核能發電在蘭嶼引發爭議的主要原因？</x:v>
      </x:c>
      <x:c r="I100" s="34" t="str">
        <x:v>政府未經充分溝通便將核廢料存放在蘭嶼島上</x:v>
      </x:c>
      <x:c r="J100" s="34" t="str">
        <x:v>臺灣島排放的核廢水破壞蘭嶼周邊的海洋生態</x:v>
      </x:c>
      <x:c r="K100" s="34" t="str">
        <x:v>政府計畫在蘭嶼島興建新的核能發電廠</x:v>
      </x:c>
      <x:c r="L100" s="34" t="str">
        <x:v>蘭嶼原有的核能發電廠發生輻射外洩事件</x:v>
      </x:c>
      <x:c r="M100" s="34" t="str">
        <x:v>A</x:v>
      </x:c>
      <x:c r="N100" s="34" t="str">
        <x:v>政府未經充分溝通便將核廢料存放在蘭嶼島上</x:v>
      </x:c>
      <x:c r="O100" s="34" t="str">
        <x:v>找出題幹中的原因與結果，檢查兩者是否能連起來。</x:v>
      </x:c>
      <x:c r="P100" s="34" t="str">
        <x:v>關鍵答案是「政府未經充分溝通便將核廢料存放在蘭嶼島上」。核能可大量供電，但核廢料處置與事故風險需要長期管理；政策也必須和受影響居民充分溝通。</x:v>
      </x:c>
      <x:c r="Q100" s="34" t="str">
        <x:v>判斷正確！你找到了「政府未經充分溝通便將核廢料存放在蘭嶼島上」這個關鍵。核能可大量供電，但核廢料處置與事故風險需要長期管理；政策也必須和受影響居民充分溝通。</x:v>
      </x:c>
      <x:c r="R100" s="34" t="str">
        <x:v>先不要選「臺灣島排放的核廢水破壞蘭嶼周邊的海洋生態」。把人物、地點或概念重新配對後，應是「政府未經充分溝通便將核廢料存放在蘭嶼島上」。核能可大量供電，但核廢料處置與事故風險需要長期管理；政策也必須和受影響居民充分溝通。</x:v>
      </x:c>
      <x:c r="S100" s="34" t="str">
        <x:v>「政府計畫在蘭嶼島興建新的核能發電廠」是干擾資料，和本題線索對不上；請改從「政府未經充分溝通便將核廢料存放在蘭嶼島上」思考。核能可大量供電，但核廢料處置與事故風險需要長期管理；政策也必須和受影響居民充分溝通。</x:v>
      </x:c>
      <x:c r="T100" s="34" t="str">
        <x:v>這題不是在找「蘭嶼原有的核能發電廠發生輻射外洩事件」。對照課本後，「政府未經充分溝通便將核廢料存放在蘭嶼島上」才符合題意。核能可大量供電，但核廢料處置與事故風險需要長期管理；政策也必須和受影響居民充分溝通。</x:v>
      </x:c>
      <x:c r="U100" s="34" t="str">
        <x:v>判斷正確</x:v>
      </x:c>
      <x:c r="V100" s="34" t="str">
        <x:v>題幹條件配對錯誤</x:v>
      </x:c>
      <x:c r="W100" s="34" t="str">
        <x:v>題幹條件配對錯誤</x:v>
      </x:c>
      <x:c r="X100" s="34" t="str">
        <x:v>題幹條件配對錯誤</x:v>
      </x:c>
      <x:c r="Y100" s="34" t="str">
        <x:v>核能可大量供電，但核廢料處置與事故風險需要長期管理；政策也必須和受影響居民充分溝通。</x:v>
      </x:c>
      <x:c r="Z100" s="34" t="str">
        <x:v>臺灣周邊海流交會，帶來多樣漁業資源；過度捕撈會使魚群減少，因此需要適當的取用與管理。</x:v>
      </x:c>
      <x:c r="AA100" s="34" t="str">
        <x:v>鄭成功驅逐荷蘭人後建立鄭氏政權；鄭經與陳永華推動屯墾、教育等措施，鄭芝龍則較早經營海上勢力。</x:v>
      </x:c>
      <x:c r="AB100" s="34" t="str">
        <x:v>A</x:v>
      </x:c>
      <x:c r="AC100" s="34" t="str">
        <x:v>這項說明能直接支持「政府未經充分溝通便將核廢料存放在蘭嶼島上」，也補上題目背後的課本知識。</x:v>
      </x:c>
      <x:c r="AD100" s="34" t="str">
        <x:v>這項知識本身可能正確，但屬於其他單元，不能用來證明本題答案。</x:v>
      </x:c>
      <x:c r="AE100" s="34" t="str">
        <x:v>這段資料談的是另一個主題，和目前題幹缺少直接關係。</x:v>
      </x:c>
      <x:c r="AF100" s="34" t="str">
        <x:v>回到課本地圖、時間線或表格，找出能再次驗證這個答案的資料。</x:v>
      </x:c>
      <x:c r="AG100" s="34" t="str">
        <x:v>月考卷B</x:v>
      </x:c>
      <x:c r="AH100" s="34" t="str">
        <x:v>B02_5下社會月考卷_第二~三單元_教用_.pdf</x:v>
      </x:c>
      <x:c r="AI100" s="34" t="n">
        <x:v>4</x:v>
      </x:c>
    </x:row>
    <x:row r="101" ht="76" customHeight="1">
      <x:c r="A101" s="34" t="str">
        <x:v>5B-U3</x:v>
      </x:c>
      <x:c r="B101" s="34" t="str">
        <x:v>五下</x:v>
      </x:c>
      <x:c r="C101" s="34" t="n">
        <x:v>3</x:v>
      </x:c>
      <x:c r="D101" s="34" t="str">
        <x:v>臺灣電力的發展</x:v>
      </x:c>
      <x:c r="E101" s="34" t="str">
        <x:v>5B-U3-PAPER</x:v>
      </x:c>
      <x:c r="F101" s="34" t="n">
        <x:v>7</x:v>
      </x:c>
      <x:c r="G101" s="34" t="str">
        <x:v>隨堂卷</x:v>
      </x:c>
      <x:c r="H101" s="34" t="str">
        <x:v>清帝國時期臺灣的第一盞電燈，是由誰裝設的？</x:v>
      </x:c>
      <x:c r="I101" s="34" t="str">
        <x:v>劉銘傳</x:v>
      </x:c>
      <x:c r="J101" s="34" t="str">
        <x:v>沈葆楨</x:v>
      </x:c>
      <x:c r="K101" s="34" t="str">
        <x:v>戴潮春</x:v>
      </x:c>
      <x:c r="L101" s="34" t="str">
        <x:v>朱一貴</x:v>
      </x:c>
      <x:c r="M101" s="34" t="str">
        <x:v>A</x:v>
      </x:c>
      <x:c r="N101" s="34" t="str">
        <x:v>劉銘傳</x:v>
      </x:c>
      <x:c r="O101" s="34" t="str">
        <x:v>把人物和他參與的事件、政策或地點配對。</x:v>
      </x:c>
      <x:c r="P101" s="34" t="str">
        <x:v>依課本內容，這題應選「劉銘傳」。日本統治時期增設水力與火力發電設備，電燈與電力逐漸進入城市及生活，但供電系統仍需維護。</x:v>
      </x:c>
      <x:c r="Q101" s="34" t="str">
        <x:v>沒錯，課本中的相關資料支持「劉銘傳」。日本統治時期增設水力與火力發電設備，電燈與電力逐漸進入城市及生活，但供電系統仍需維護。</x:v>
      </x:c>
      <x:c r="R101" s="34" t="str">
        <x:v>「沈葆楨」是干擾資料，和本題線索對不上；請改從「劉銘傳」思考。日本統治時期增設水力與火力發電設備，電燈與電力逐漸進入城市及生活，但供電系統仍需維護。</x:v>
      </x:c>
      <x:c r="S101" s="34" t="str">
        <x:v>這題不是在找「戴潮春」。對照課本後，「劉銘傳」才符合題意。日本統治時期增設水力與火力發電設備，電燈與電力逐漸進入城市及生活，但供電系統仍需維護。</x:v>
      </x:c>
      <x:c r="T101" s="34" t="str">
        <x:v>選項「朱一貴」混入了不同背景的資料。回看題幹，應選「劉銘傳」。日本統治時期增設水力與火力發電設備，電燈與電力逐漸進入城市及生活，但供電系統仍需維護。</x:v>
      </x:c>
      <x:c r="U101" s="34" t="str">
        <x:v>判斷正確</x:v>
      </x:c>
      <x:c r="V101" s="34" t="str">
        <x:v>題幹條件配對錯誤</x:v>
      </x:c>
      <x:c r="W101" s="34" t="str">
        <x:v>題幹條件配對錯誤</x:v>
      </x:c>
      <x:c r="X101" s="34" t="str">
        <x:v>題幹條件配對錯誤</x:v>
      </x:c>
      <x:c r="Y101" s="34" t="str">
        <x:v>日本統治時期增設水力與火力發電設備，電燈與電力逐漸進入城市及生活，但供電系統仍需維護。</x:v>
      </x:c>
      <x:c r="Z101" s="34" t="str">
        <x:v>鄭成功驅逐荷蘭人後建立鄭氏政權；鄭經與陳永華推動屯墾、教育等措施，鄭芝龍則較早經營海上勢力。</x:v>
      </x:c>
      <x:c r="AA101" s="34" t="str">
        <x:v>西班牙人曾在臺灣北部建立據點；三貂角的名稱也和大航海時代的西班牙航行有關。</x:v>
      </x:c>
      <x:c r="AB101" s="34" t="str">
        <x:v>A</x:v>
      </x:c>
      <x:c r="AC101" s="34" t="str">
        <x:v>這項說明能直接支持「劉銘傳」，也補上題目背後的課本知識。</x:v>
      </x:c>
      <x:c r="AD101" s="34" t="str">
        <x:v>這項知識本身可能正確，但屬於其他單元，不能用來證明本題答案。</x:v>
      </x:c>
      <x:c r="AE101" s="34" t="str">
        <x:v>這段資料談的是另一個主題，和目前題幹缺少直接關係。</x:v>
      </x:c>
      <x:c r="AF101" s="34" t="str">
        <x:v>回到課本地圖、時間線或表格，找出能再次驗證這個答案的資料。</x:v>
      </x:c>
      <x:c r="AG101" s="34" t="str">
        <x:v>隨堂卷</x:v>
      </x:c>
      <x:c r="AH101" s="34" t="str">
        <x:v>03_5下社會隨堂卷_第三單元臺灣電力的發展_教用.pdf</x:v>
      </x:c>
      <x:c r="AI101" s="34" t="n">
        <x:v>4</x:v>
      </x:c>
    </x:row>
    <x:row r="102" ht="76" customHeight="1">
      <x:c r="A102" s="34" t="str">
        <x:v>5B-U3</x:v>
      </x:c>
      <x:c r="B102" s="34" t="str">
        <x:v>五下</x:v>
      </x:c>
      <x:c r="C102" s="34" t="n">
        <x:v>3</x:v>
      </x:c>
      <x:c r="D102" s="34" t="str">
        <x:v>臺灣電力的發展</x:v>
      </x:c>
      <x:c r="E102" s="34" t="str">
        <x:v>5B-U3-PAPER</x:v>
      </x:c>
      <x:c r="F102" s="34" t="n">
        <x:v>8</x:v>
      </x:c>
      <x:c r="G102" s="34" t="str">
        <x:v>月考卷A</x:v>
      </x:c>
      <x:c r="H102" s="34" t="str">
        <x:v>臺灣地底下有豐沛的熱能，可以供發電使用，與下列哪一項因素較有關？</x:v>
      </x:c>
      <x:c r="I102" s="34" t="str">
        <x:v>位於板塊交接處</x:v>
      </x:c>
      <x:c r="J102" s="34" t="str">
        <x:v>四面環海</x:v>
      </x:c>
      <x:c r="K102" s="34" t="str">
        <x:v>位於季風盛行區域</x:v>
      </x:c>
      <x:c r="L102" s="34" t="str">
        <x:v>日照時數充足</x:v>
      </x:c>
      <x:c r="M102" s="34" t="str">
        <x:v>A</x:v>
      </x:c>
      <x:c r="N102" s="34" t="str">
        <x:v>位於板塊交接處</x:v>
      </x:c>
      <x:c r="O102" s="34" t="str">
        <x:v>找出題幹中的原因與結果，檢查兩者是否能連起來。</x:v>
      </x:c>
      <x:c r="P102" s="34" t="str">
        <x:v>把題幹線索和課本資料對照，可找到「位於板塊交接處」。臺灣位於板塊交界，地底熱能豐富，具有發展地熱發電的條件，但探勘與建置成本較高。</x:v>
      </x:c>
      <x:c r="Q102" s="34" t="str">
        <x:v>這項選擇成立；「位於板塊交接處」符合題目要求。臺灣位於板塊交界，地底熱能豐富，具有發展地熱發電的條件，但探勘與建置成本較高。</x:v>
      </x:c>
      <x:c r="R102" s="34" t="str">
        <x:v>這題不是在找「四面環海」。對照課本後，「位於板塊交接處」才符合題意。臺灣位於板塊交界，地底熱能豐富，具有發展地熱發電的條件，但探勘與建置成本較高。</x:v>
      </x:c>
      <x:c r="S102" s="34" t="str">
        <x:v>選項「位於季風盛行區域」混入了不同背景的資料。回看題幹，應選「位於板塊交接處」。臺灣位於板塊交界，地底熱能豐富，具有發展地熱發電的條件，但探勘與建置成本較高。</x:v>
      </x:c>
      <x:c r="T102" s="34" t="str">
        <x:v>「日照時數充足」沒有符合題幹限定的條件。正確方向是「位於板塊交接處」；臺灣位於板塊交界，地底熱能豐富，具有發展地熱發電的條件，但探勘與建置成本較高。</x:v>
      </x:c>
      <x:c r="U102" s="34" t="str">
        <x:v>判斷正確</x:v>
      </x:c>
      <x:c r="V102" s="34" t="str">
        <x:v>題幹條件配對錯誤</x:v>
      </x:c>
      <x:c r="W102" s="34" t="str">
        <x:v>題幹條件配對錯誤</x:v>
      </x:c>
      <x:c r="X102" s="34" t="str">
        <x:v>題幹條件配對錯誤</x:v>
      </x:c>
      <x:c r="Y102" s="34" t="str">
        <x:v>臺灣位於板塊交界，地底熱能豐富，具有發展地熱發電的條件，但探勘與建置成本較高。</x:v>
      </x:c>
      <x:c r="Z102" s="34" t="str">
        <x:v>這題要核對大航海時代的人物、地點與事件先後。</x:v>
      </x:c>
      <x:c r="AA102" s="34" t="str">
        <x:v>西班牙人曾在臺灣北部建立據點；三貂角的名稱也和大航海時代的西班牙航行有關。</x:v>
      </x:c>
      <x:c r="AB102" s="34" t="str">
        <x:v>A</x:v>
      </x:c>
      <x:c r="AC102" s="34" t="str">
        <x:v>這項說明能直接支持「位於板塊交接處」，也補上題目背後的課本知識。</x:v>
      </x:c>
      <x:c r="AD102" s="34" t="str">
        <x:v>這項知識本身可能正確，但屬於其他單元，不能用來證明本題答案。</x:v>
      </x:c>
      <x:c r="AE102" s="34" t="str">
        <x:v>這段資料談的是另一個主題，和目前題幹缺少直接關係。</x:v>
      </x:c>
      <x:c r="AF102" s="34" t="str">
        <x:v>回到課本地圖、時間線或表格，找出能再次驗證這個答案的資料。</x:v>
      </x:c>
      <x:c r="AG102" s="34" t="str">
        <x:v>月考卷A</x:v>
      </x:c>
      <x:c r="AH102" s="34" t="str">
        <x:v>A02_5下社會月考卷_第二~三單元_教用_.pdf</x:v>
      </x:c>
      <x:c r="AI102" s="34" t="n">
        <x:v>8</x:v>
      </x:c>
    </x:row>
    <x:row r="103" ht="76" customHeight="1">
      <x:c r="A103" s="34" t="str">
        <x:v>5B-U3</x:v>
      </x:c>
      <x:c r="B103" s="34" t="str">
        <x:v>五下</x:v>
      </x:c>
      <x:c r="C103" s="34" t="n">
        <x:v>3</x:v>
      </x:c>
      <x:c r="D103" s="34" t="str">
        <x:v>臺灣電力的發展</x:v>
      </x:c>
      <x:c r="E103" s="34" t="str">
        <x:v>5B-U3-PAPER</x:v>
      </x:c>
      <x:c r="F103" s="34" t="n">
        <x:v>9</x:v>
      </x:c>
      <x:c r="G103" s="34" t="str">
        <x:v>月考卷B</x:v>
      </x:c>
      <x:c r="H103" s="34" t="str">
        <x:v>西元2011年時，日本發生哪種天災，加上後續處理失當等原因，引發核災？</x:v>
      </x:c>
      <x:c r="I103" s="34" t="str">
        <x:v>水災</x:v>
      </x:c>
      <x:c r="J103" s="34" t="str">
        <x:v>旱災</x:v>
      </x:c>
      <x:c r="K103" s="34" t="str">
        <x:v>地震</x:v>
      </x:c>
      <x:c r="L103" s="34" t="str">
        <x:v>颱風</x:v>
      </x:c>
      <x:c r="M103" s="34" t="str">
        <x:v>C</x:v>
      </x:c>
      <x:c r="N103" s="34" t="str">
        <x:v>地震</x:v>
      </x:c>
      <x:c r="O103" s="34" t="str">
        <x:v>找出題幹中的原因與結果，檢查兩者是否能連起來。</x:v>
      </x:c>
      <x:c r="P103" s="34" t="str">
        <x:v>「地震」最符合題目所問的時間、地點或概念。這題要比較發電方式的條件、限制與對居民或環境的影響。</x:v>
      </x:c>
      <x:c r="Q103" s="34" t="str">
        <x:v>這題不是在找「水災」。對照課本後，「地震」才符合題意。這題要比較發電方式的條件、限制與對居民或環境的影響。</x:v>
      </x:c>
      <x:c r="R103" s="34" t="str">
        <x:v>選項「旱災」混入了不同背景的資料。回看題幹，應選「地震」。這題要比較發電方式的條件、限制與對居民或環境的影響。</x:v>
      </x:c>
      <x:c r="S103" s="34" t="str">
        <x:v>答對了，「地震」和題幹線索相符。這題要比較發電方式的條件、限制與對居民或環境的影響。</x:v>
      </x:c>
      <x:c r="T103" s="34" t="str">
        <x:v>先不要選「颱風」。把人物、地點或概念重新配對後，應是「地震」。這題要比較發電方式的條件、限制與對居民或環境的影響。</x:v>
      </x:c>
      <x:c r="U103" s="34" t="str">
        <x:v>題幹條件配對錯誤</x:v>
      </x:c>
      <x:c r="V103" s="34" t="str">
        <x:v>題幹條件配對錯誤</x:v>
      </x:c>
      <x:c r="W103" s="34" t="str">
        <x:v>判斷正確</x:v>
      </x:c>
      <x:c r="X103" s="34" t="str">
        <x:v>題幹條件配對錯誤</x:v>
      </x:c>
      <x:c r="Y103" s="34" t="str">
        <x:v>這題要比較發電方式的條件、限制與對居民或環境的影響。</x:v>
      </x:c>
      <x:c r="Z103" s="34" t="str">
        <x:v>臺灣南部乾季明顯、日照充足，沿海平坦，因此適合發展晒鹽等產業。</x:v>
      </x:c>
      <x:c r="AA103" s="34" t="str">
        <x:v>這題要從清代移民、開墾、族群互動與地方生活的背景判斷。</x:v>
      </x:c>
      <x:c r="AB103" s="34" t="str">
        <x:v>A</x:v>
      </x:c>
      <x:c r="AC103" s="34" t="str">
        <x:v>這項說明能直接支持「地震」，也補上題目背後的課本知識。</x:v>
      </x:c>
      <x:c r="AD103" s="34" t="str">
        <x:v>這項知識本身可能正確，但屬於其他單元，不能用來證明本題答案。</x:v>
      </x:c>
      <x:c r="AE103" s="34" t="str">
        <x:v>這段資料談的是另一個主題，和目前題幹缺少直接關係。</x:v>
      </x:c>
      <x:c r="AF103" s="34" t="str">
        <x:v>回到課本地圖、時間線或表格，找出能再次驗證這個答案的資料。</x:v>
      </x:c>
      <x:c r="AG103" s="34" t="str">
        <x:v>月考卷B</x:v>
      </x:c>
      <x:c r="AH103" s="34" t="str">
        <x:v>B02_5下社會月考卷_第二~三單元_教用_.pdf</x:v>
      </x:c>
      <x:c r="AI103" s="34" t="n">
        <x:v>8</x:v>
      </x:c>
    </x:row>
    <x:row r="104" ht="76" customHeight="1">
      <x:c r="A104" s="34" t="str">
        <x:v>5B-U3</x:v>
      </x:c>
      <x:c r="B104" s="34" t="str">
        <x:v>五下</x:v>
      </x:c>
      <x:c r="C104" s="34" t="n">
        <x:v>3</x:v>
      </x:c>
      <x:c r="D104" s="34" t="str">
        <x:v>臺灣電力的發展</x:v>
      </x:c>
      <x:c r="E104" s="34" t="str">
        <x:v>5B-U3-PAPER</x:v>
      </x:c>
      <x:c r="F104" s="34" t="n">
        <x:v>10</x:v>
      </x:c>
      <x:c r="G104" s="34" t="str">
        <x:v>隨堂卷</x:v>
      </x:c>
      <x:c r="H104" s="34" t="str">
        <x:v>「臺灣位於板塊交接處，有豐沛的☆供發電使用。若能成功發展，有助於減少發電過程產生的汙染。」上述的☆，應該填入下列哪項？</x:v>
      </x:c>
      <x:c r="I104" s="34" t="str">
        <x:v>地底熱能</x:v>
      </x:c>
      <x:c r="J104" s="34" t="str">
        <x:v>太陽能</x:v>
      </x:c>
      <x:c r="K104" s="34" t="str">
        <x:v>水力</x:v>
      </x:c>
      <x:c r="L104" s="34" t="str">
        <x:v>沼氣</x:v>
      </x:c>
      <x:c r="M104" s="34" t="str">
        <x:v>A</x:v>
      </x:c>
      <x:c r="N104" s="34" t="str">
        <x:v>地底熱能</x:v>
      </x:c>
      <x:c r="O104" s="34" t="str">
        <x:v>先找題幹的方向或地點線索，再和課本地圖對照。</x:v>
      </x:c>
      <x:c r="P104" s="34" t="str">
        <x:v>判斷重點不在字數，而在內容是否符合課本；答案是「地底熱能」。水力發電利用水流，但會受降雨與水量影響，興建設施也可能改變河川環境。</x:v>
      </x:c>
      <x:c r="Q104" s="34" t="str">
        <x:v>判斷正確！你找到了「地底熱能」這個關鍵。水力發電利用水流，但會受降雨與水量影響，興建設施也可能改變河川環境。</x:v>
      </x:c>
      <x:c r="R104" s="34" t="str">
        <x:v>「太陽能」沒有符合題幹限定的條件。正確方向是「地底熱能」；水力發電利用水流，但會受降雨與水量影響，興建設施也可能改變河川環境。</x:v>
      </x:c>
      <x:c r="S104" s="34" t="str">
        <x:v>先不要選「水力」。把人物、地點或概念重新配對後，應是「地底熱能」。水力發電利用水流，但會受降雨與水量影響，興建設施也可能改變河川環境。</x:v>
      </x:c>
      <x:c r="T104" s="34" t="str">
        <x:v>「沼氣」是干擾資料，和本題線索對不上；請改從「地底熱能」思考。水力發電利用水流，但會受降雨與水量影響，興建設施也可能改變河川環境。</x:v>
      </x:c>
      <x:c r="U104" s="34" t="str">
        <x:v>判斷正確</x:v>
      </x:c>
      <x:c r="V104" s="34" t="str">
        <x:v>題幹條件配對錯誤</x:v>
      </x:c>
      <x:c r="W104" s="34" t="str">
        <x:v>題幹條件配對錯誤</x:v>
      </x:c>
      <x:c r="X104" s="34" t="str">
        <x:v>題幹條件配對錯誤</x:v>
      </x:c>
      <x:c r="Y104" s="34" t="str">
        <x:v>水力發電利用水流，但會受降雨與水量影響，興建設施也可能改變河川環境。</x:v>
      </x:c>
      <x:c r="Z104" s="34" t="str">
        <x:v>這題要從清代移民、開墾、族群互動與地方生活的背景判斷。</x:v>
      </x:c>
      <x:c r="AA104" s="34" t="str">
        <x:v>朱一貴事件是清代臺灣的重要民變，反映當時治理與社會矛盾。</x:v>
      </x:c>
      <x:c r="AB104" s="34" t="str">
        <x:v>A</x:v>
      </x:c>
      <x:c r="AC104" s="34" t="str">
        <x:v>這項說明能直接支持「地底熱能」，也補上題目背後的課本知識。</x:v>
      </x:c>
      <x:c r="AD104" s="34" t="str">
        <x:v>這項知識本身可能正確，但屬於其他單元，不能用來證明本題答案。</x:v>
      </x:c>
      <x:c r="AE104" s="34" t="str">
        <x:v>這段資料談的是另一個主題，和目前題幹缺少直接關係。</x:v>
      </x:c>
      <x:c r="AF104" s="34" t="str">
        <x:v>回到課本地圖、時間線或表格，找出能再次驗證這個答案的資料。</x:v>
      </x:c>
      <x:c r="AG104" s="34" t="str">
        <x:v>隨堂卷</x:v>
      </x:c>
      <x:c r="AH104" s="34" t="str">
        <x:v>03_5下社會隨堂卷_第三單元臺灣電力的發展_教用.pdf</x:v>
      </x:c>
      <x:c r="AI104" s="34" t="n">
        <x:v>5</x:v>
      </x:c>
    </x:row>
    <x:row r="105" ht="76" customHeight="1">
      <x:c r="A105" s="34" t="str">
        <x:v>5B-U3</x:v>
      </x:c>
      <x:c r="B105" s="34" t="str">
        <x:v>五下</x:v>
      </x:c>
      <x:c r="C105" s="34" t="n">
        <x:v>3</x:v>
      </x:c>
      <x:c r="D105" s="34" t="str">
        <x:v>臺灣電力的發展</x:v>
      </x:c>
      <x:c r="E105" s="34" t="str">
        <x:v>5B-U3-PAPER</x:v>
      </x:c>
      <x:c r="F105" s="34" t="n">
        <x:v>11</x:v>
      </x:c>
      <x:c r="G105" s="34" t="str">
        <x:v>月考卷A</x:v>
      </x:c>
      <x:c r="H105" s="34" t="str">
        <x:v>下列哪項是太陽能發電的缺點？</x:v>
      </x:c>
      <x:c r="I105" s="34" t="str">
        <x:v>運送燃料的氣味可能影響沿途住戶</x:v>
      </x:c>
      <x:c r="J105" s="34" t="str">
        <x:v>燃料價格昂貴</x:v>
      </x:c>
      <x:c r="K105" s="34" t="str">
        <x:v>供電效率容易受天氣影響</x:v>
      </x:c>
      <x:c r="L105" s="34" t="str">
        <x:v>發電時產生的噪音會影響居民</x:v>
      </x:c>
      <x:c r="M105" s="34" t="str">
        <x:v>C</x:v>
      </x:c>
      <x:c r="N105" s="34" t="str">
        <x:v>供電效率容易受天氣影響</x:v>
      </x:c>
      <x:c r="O105" s="34" t="str">
        <x:v>抓住題幹的關鍵詞，再比較每個選項和課本內容是否相符。</x:v>
      </x:c>
      <x:c r="P105" s="34" t="str">
        <x:v>關鍵答案是「供電效率容易受天氣影響」。太陽能發電在日照充足時較有效率，陰雨或夜間供電會下降，因此需要搭配儲能或其他電源。</x:v>
      </x:c>
      <x:c r="Q105" s="34" t="str">
        <x:v>「運送燃料的氣味可能影響沿途住戶」沒有符合題幹限定的條件。正確方向是「供電效率容易受天氣影響」；太陽能發電在日照充足時較有效率，陰雨或夜間供電會下降，因此需要搭配儲能或其他電源。</x:v>
      </x:c>
      <x:c r="R105" s="34" t="str">
        <x:v>先不要選「燃料價格昂貴」。把人物、地點或概念重新配對後，應是「供電效率容易受天氣影響」。太陽能發電在日照充足時較有效率，陰雨或夜間供電會下降，因此需要搭配儲能或其他電源。</x:v>
      </x:c>
      <x:c r="S105" s="34" t="str">
        <x:v>沒錯，課本中的相關資料支持「供電效率容易受天氣影響」。太陽能發電在日照充足時較有效率，陰雨或夜間供電會下降，因此需要搭配儲能或其他電源。</x:v>
      </x:c>
      <x:c r="T105" s="34" t="str">
        <x:v>這題不是在找「發電時產生的噪音會影響居民」。對照課本後，「供電效率容易受天氣影響」才符合題意。太陽能發電在日照充足時較有效率，陰雨或夜間供電會下降，因此需要搭配儲能或其他電源。</x:v>
      </x:c>
      <x:c r="U105" s="34" t="str">
        <x:v>題幹條件配對錯誤</x:v>
      </x:c>
      <x:c r="V105" s="34" t="str">
        <x:v>題幹條件配對錯誤</x:v>
      </x:c>
      <x:c r="W105" s="34" t="str">
        <x:v>判斷正確</x:v>
      </x:c>
      <x:c r="X105" s="34" t="str">
        <x:v>題幹條件配對錯誤</x:v>
      </x:c>
      <x:c r="Y105" s="34" t="str">
        <x:v>太陽能發電在日照充足時較有效率，陰雨或夜間供電會下降，因此需要搭配儲能或其他電源。</x:v>
      </x:c>
      <x:c r="Z105" s="34" t="str">
        <x:v>劉銘傳是臺灣建省後的首任巡撫，推動鐵路、電報等建設；清法戰爭期間也加強淡水防務。</x:v>
      </x:c>
      <x:c r="AA105" s="34" t="str">
        <x:v>1860 年代臺灣開港通商後，外商設立洋行，外國也設領事館處理外交事務，臺灣更深地進入國際貿易。</x:v>
      </x:c>
      <x:c r="AB105" s="34" t="str">
        <x:v>A</x:v>
      </x:c>
      <x:c r="AC105" s="34" t="str">
        <x:v>這項說明能直接支持「供電效率容易受天氣影響」，也補上題目背後的課本知識。</x:v>
      </x:c>
      <x:c r="AD105" s="34" t="str">
        <x:v>這項知識本身可能正確，但屬於其他單元，不能用來證明本題答案。</x:v>
      </x:c>
      <x:c r="AE105" s="34" t="str">
        <x:v>這段資料談的是另一個主題，和目前題幹缺少直接關係。</x:v>
      </x:c>
      <x:c r="AF105" s="34" t="str">
        <x:v>回到課本地圖、時間線或表格，找出能再次驗證這個答案的資料。</x:v>
      </x:c>
      <x:c r="AG105" s="34" t="str">
        <x:v>月考卷A</x:v>
      </x:c>
      <x:c r="AH105" s="34" t="str">
        <x:v>A05_5下社會月考卷_第三~四單元_教用_.pdf</x:v>
      </x:c>
      <x:c r="AI105" s="34" t="n">
        <x:v>1</x:v>
      </x:c>
    </x:row>
    <x:row r="106" ht="76" customHeight="1">
      <x:c r="A106" s="34" t="str">
        <x:v>5B-U3</x:v>
      </x:c>
      <x:c r="B106" s="34" t="str">
        <x:v>五下</x:v>
      </x:c>
      <x:c r="C106" s="34" t="n">
        <x:v>3</x:v>
      </x:c>
      <x:c r="D106" s="34" t="str">
        <x:v>臺灣電力的發展</x:v>
      </x:c>
      <x:c r="E106" s="34" t="str">
        <x:v>5B-U3-PAPER</x:v>
      </x:c>
      <x:c r="F106" s="34" t="n">
        <x:v>12</x:v>
      </x:c>
      <x:c r="G106" s="34" t="str">
        <x:v>月考卷B</x:v>
      </x:c>
      <x:c r="H106" s="34" t="str">
        <x:v>下列哪一項是地熱發電的缺點？</x:v>
      </x:c>
      <x:c r="I106" s="34" t="str">
        <x:v>運送燃料過程的氣味可能影響沿途住戶</x:v>
      </x:c>
      <x:c r="J106" s="34" t="str">
        <x:v>建造成本高且技術仍未成熟</x:v>
      </x:c>
      <x:c r="K106" s="34" t="str">
        <x:v>供電效率容易受到天氣狀況影響</x:v>
      </x:c>
      <x:c r="L106" s="34" t="str">
        <x:v>機組發電時產生的噪音會影響居民生活</x:v>
      </x:c>
      <x:c r="M106" s="34" t="str">
        <x:v>B</x:v>
      </x:c>
      <x:c r="N106" s="34" t="str">
        <x:v>建造成本高且技術仍未成熟</x:v>
      </x:c>
      <x:c r="O106" s="34" t="str">
        <x:v>抓住題幹的關鍵詞，再比較每個選項和課本內容是否相符。</x:v>
      </x:c>
      <x:c r="P106" s="34" t="str">
        <x:v>依課本內容，這題應選「建造成本高且技術仍未成熟」。臺灣位於板塊交界，地底熱能豐富，具有發展地熱發電的條件，但探勘與建置成本較高。</x:v>
      </x:c>
      <x:c r="Q106" s="34" t="str">
        <x:v>先不要選「運送燃料過程的氣味可能影響沿途住戶」。把人物、地點或概念重新配對後，應是「建造成本高且技術仍未成熟」。臺灣位於板塊交界，地底熱能豐富，具有發展地熱發電的條件，但探勘與建置成本較高。</x:v>
      </x:c>
      <x:c r="R106" s="34" t="str">
        <x:v>這項選擇成立；「建造成本高且技術仍未成熟」符合題目要求。臺灣位於板塊交界，地底熱能豐富，具有發展地熱發電的條件，但探勘與建置成本較高。</x:v>
      </x:c>
      <x:c r="S106" s="34" t="str">
        <x:v>這題不是在找「供電效率容易受到天氣狀況影響」。對照課本後，「建造成本高且技術仍未成熟」才符合題意。臺灣位於板塊交界，地底熱能豐富，具有發展地熱發電的條件，但探勘與建置成本較高。</x:v>
      </x:c>
      <x:c r="T106" s="34" t="str">
        <x:v>選項「機組發電時產生的噪音會影響居民生活」混入了不同背景的資料。回看題幹，應選「建造成本高且技術仍未成熟」。臺灣位於板塊交界，地底熱能豐富，具有發展地熱發電的條件，但探勘與建置成本較高。</x:v>
      </x:c>
      <x:c r="U106" s="34" t="str">
        <x:v>題幹條件配對錯誤</x:v>
      </x:c>
      <x:c r="V106" s="34" t="str">
        <x:v>判斷正確</x:v>
      </x:c>
      <x:c r="W106" s="34" t="str">
        <x:v>題幹條件配對錯誤</x:v>
      </x:c>
      <x:c r="X106" s="34" t="str">
        <x:v>題幹條件配對錯誤</x:v>
      </x:c>
      <x:c r="Y106" s="34" t="str">
        <x:v>臺灣位於板塊交界，地底熱能豐富，具有發展地熱發電的條件，但探勘與建置成本較高。</x:v>
      </x:c>
      <x:c r="Z106" s="34" t="str">
        <x:v>巴克禮在臺南從事傳教與教育，使用羅馬字推廣閱讀，並發行《臺灣府城教會報》。</x:v>
      </x:c>
      <x:c r="AA106" s="34" t="str">
        <x:v>開港後茶葉等商品從北部輸出，帶動大稻埕與北部港市發展，也使經濟重心逐漸北移。</x:v>
      </x:c>
      <x:c r="AB106" s="34" t="str">
        <x:v>A</x:v>
      </x:c>
      <x:c r="AC106" s="34" t="str">
        <x:v>這項說明能直接支持「建造成本高且技術仍未成熟」，也補上題目背後的課本知識。</x:v>
      </x:c>
      <x:c r="AD106" s="34" t="str">
        <x:v>這項知識本身可能正確，但屬於其他單元，不能用來證明本題答案。</x:v>
      </x:c>
      <x:c r="AE106" s="34" t="str">
        <x:v>這段資料談的是另一個主題，和目前題幹缺少直接關係。</x:v>
      </x:c>
      <x:c r="AF106" s="34" t="str">
        <x:v>回到課本地圖、時間線或表格，找出能再次驗證這個答案的資料。</x:v>
      </x:c>
      <x:c r="AG106" s="34" t="str">
        <x:v>月考卷B</x:v>
      </x:c>
      <x:c r="AH106" s="34" t="str">
        <x:v>B05_5下社會月考卷_第三~四單元_教用_.pdf</x:v>
      </x:c>
      <x:c r="AI106" s="34" t="n">
        <x:v>2</x:v>
      </x:c>
    </x:row>
    <x:row r="107" ht="76" customHeight="1">
      <x:c r="A107" s="34" t="str">
        <x:v>5B-U3</x:v>
      </x:c>
      <x:c r="B107" s="34" t="str">
        <x:v>五下</x:v>
      </x:c>
      <x:c r="C107" s="34" t="n">
        <x:v>3</x:v>
      </x:c>
      <x:c r="D107" s="34" t="str">
        <x:v>臺灣電力的發展</x:v>
      </x:c>
      <x:c r="E107" s="34" t="str">
        <x:v>5B-U3-PAPER</x:v>
      </x:c>
      <x:c r="F107" s="34" t="n">
        <x:v>13</x:v>
      </x:c>
      <x:c r="G107" s="34" t="str">
        <x:v>隨堂卷</x:v>
      </x:c>
      <x:c r="H107" s="34" t="str">
        <x:v>民國50年代中期後，台灣電力公司開發下列哪一項建設，因應臺灣大量的用電需求？</x:v>
      </x:c>
      <x:c r="I107" s="34" t="str">
        <x:v>核能發電廠</x:v>
      </x:c>
      <x:c r="J107" s="34" t="str">
        <x:v>風力發電設備</x:v>
      </x:c>
      <x:c r="K107" s="34" t="str">
        <x:v>火力發電廠</x:v>
      </x:c>
      <x:c r="L107" s="34" t="str">
        <x:v>水庫</x:v>
      </x:c>
      <x:c r="M107" s="34" t="str">
        <x:v>C</x:v>
      </x:c>
      <x:c r="N107" s="34" t="str">
        <x:v>火力發電廠</x:v>
      </x:c>
      <x:c r="O107" s="34" t="str">
        <x:v>抓住題幹的關鍵詞，再比較每個選項和課本內容是否相符。</x:v>
      </x:c>
      <x:c r="P107" s="34" t="str">
        <x:v>把題幹線索和課本資料對照，可找到「火力發電廠」。火力發電依靠煤、石油或天然氣等燃料，不屬於再生能源；再生能源則可在自然循環中持續補充。</x:v>
      </x:c>
      <x:c r="Q107" s="34" t="str">
        <x:v>「核能發電廠」是干擾資料，和本題線索對不上；請改從「火力發電廠」思考。火力發電依靠煤、石油或天然氣等燃料，不屬於再生能源；再生能源則可在自然循環中持續補充。</x:v>
      </x:c>
      <x:c r="R107" s="34" t="str">
        <x:v>這題不是在找「風力發電設備」。對照課本後，「火力發電廠」才符合題意。火力發電依靠煤、石油或天然氣等燃料，不屬於再生能源；再生能源則可在自然循環中持續補充。</x:v>
      </x:c>
      <x:c r="S107" s="34" t="str">
        <x:v>答對了，「火力發電廠」和題幹線索相符。火力發電依靠煤、石油或天然氣等燃料，不屬於再生能源；再生能源則可在自然循環中持續補充。</x:v>
      </x:c>
      <x:c r="T107" s="34" t="str">
        <x:v>「水庫」沒有符合題幹限定的條件。正確方向是「火力發電廠」；火力發電依靠煤、石油或天然氣等燃料，不屬於再生能源；再生能源則可在自然循環中持續補充。</x:v>
      </x:c>
      <x:c r="U107" s="34" t="str">
        <x:v>題幹條件配對錯誤</x:v>
      </x:c>
      <x:c r="V107" s="34" t="str">
        <x:v>題幹條件配對錯誤</x:v>
      </x:c>
      <x:c r="W107" s="34" t="str">
        <x:v>判斷正確</x:v>
      </x:c>
      <x:c r="X107" s="34" t="str">
        <x:v>題幹條件配對錯誤</x:v>
      </x:c>
      <x:c r="Y107" s="34" t="str">
        <x:v>火力發電依靠煤、石油或天然氣等燃料，不屬於再生能源；再生能源則可在自然循環中持續補充。</x:v>
      </x:c>
      <x:c r="Z107" s="34" t="str">
        <x:v>投資報酬並不保證，風險是結果可能獲利也可能虧損；選擇前要評估自己能承受的損失。</x:v>
      </x:c>
      <x:c r="AA107" s="34" t="str">
        <x:v>遇到瑕疵商品可保留交易證明、向業者反映，並依消費者保護法或撥打 1950 尋求協助。</x:v>
      </x:c>
      <x:c r="AB107" s="34" t="str">
        <x:v>A</x:v>
      </x:c>
      <x:c r="AC107" s="34" t="str">
        <x:v>這項說明能直接支持「火力發電廠」，也補上題目背後的課本知識。</x:v>
      </x:c>
      <x:c r="AD107" s="34" t="str">
        <x:v>這項知識本身可能正確，但屬於其他單元，不能用來證明本題答案。</x:v>
      </x:c>
      <x:c r="AE107" s="34" t="str">
        <x:v>這段資料談的是另一個主題，和目前題幹缺少直接關係。</x:v>
      </x:c>
      <x:c r="AF107" s="34" t="str">
        <x:v>回到課本地圖、時間線或表格，找出能再次驗證這個答案的資料。</x:v>
      </x:c>
      <x:c r="AG107" s="34" t="str">
        <x:v>隨堂卷</x:v>
      </x:c>
      <x:c r="AH107" s="34" t="str">
        <x:v>03_5下社會隨堂卷_第三單元臺灣電力的發展_教用.pdf</x:v>
      </x:c>
      <x:c r="AI107" s="34" t="n">
        <x:v>6</x:v>
      </x:c>
    </x:row>
    <x:row r="108" ht="76" customHeight="1">
      <x:c r="A108" s="34" t="str">
        <x:v>5B-U3</x:v>
      </x:c>
      <x:c r="B108" s="34" t="str">
        <x:v>五下</x:v>
      </x:c>
      <x:c r="C108" s="34" t="n">
        <x:v>3</x:v>
      </x:c>
      <x:c r="D108" s="34" t="str">
        <x:v>臺灣電力的發展</x:v>
      </x:c>
      <x:c r="E108" s="34" t="str">
        <x:v>5B-U3-PAPER</x:v>
      </x:c>
      <x:c r="F108" s="34" t="n">
        <x:v>14</x:v>
      </x:c>
      <x:c r="G108" s="34" t="str">
        <x:v>月考卷A</x:v>
      </x:c>
      <x:c r="H108" s="34" t="str">
        <x:v>從哪個時期以後，政府在臺灣增設了許多運用水力與火力發電的設備，街燈照明範圍逐漸擴大？</x:v>
      </x:c>
      <x:c r="I108" s="34" t="str">
        <x:v>西元1895年</x:v>
      </x:c>
      <x:c r="J108" s="34" t="str">
        <x:v>西元1945年</x:v>
      </x:c>
      <x:c r="K108" s="34" t="str">
        <x:v>西元1985年</x:v>
      </x:c>
      <x:c r="L108" s="34" t="str">
        <x:v>西元2005年</x:v>
      </x:c>
      <x:c r="M108" s="34" t="str">
        <x:v>A</x:v>
      </x:c>
      <x:c r="N108" s="34" t="str">
        <x:v>西元1895年</x:v>
      </x:c>
      <x:c r="O108" s="34" t="str">
        <x:v>抓住題幹的關鍵詞，再比較每個選項和課本內容是否相符。</x:v>
      </x:c>
      <x:c r="P108" s="34" t="str">
        <x:v>「西元1895年」最符合題目所問的時間、地點或概念。火力發電依靠煤、石油或天然氣等燃料，不屬於再生能源；再生能源則可在自然循環中持續補充。</x:v>
      </x:c>
      <x:c r="Q108" s="34" t="str">
        <x:v>判斷正確！你找到了「西元1895年」這個關鍵。火力發電依靠煤、石油或天然氣等燃料，不屬於再生能源；再生能源則可在自然循環中持續補充。</x:v>
      </x:c>
      <x:c r="R108" s="34" t="str">
        <x:v>選項「西元1945年」混入了不同背景的資料。回看題幹，應選「西元1895年」。火力發電依靠煤、石油或天然氣等燃料，不屬於再生能源；再生能源則可在自然循環中持續補充。</x:v>
      </x:c>
      <x:c r="S108" s="34" t="str">
        <x:v>「西元1985年」沒有符合題幹限定的條件。正確方向是「西元1895年」；火力發電依靠煤、石油或天然氣等燃料，不屬於再生能源；再生能源則可在自然循環中持續補充。</x:v>
      </x:c>
      <x:c r="T108" s="34" t="str">
        <x:v>先不要選「西元2005年」。把人物、地點或概念重新配對後，應是「西元1895年」。火力發電依靠煤、石油或天然氣等燃料，不屬於再生能源；再生能源則可在自然循環中持續補充。</x:v>
      </x:c>
      <x:c r="U108" s="34" t="str">
        <x:v>判斷正確</x:v>
      </x:c>
      <x:c r="V108" s="34" t="str">
        <x:v>題幹條件配對錯誤</x:v>
      </x:c>
      <x:c r="W108" s="34" t="str">
        <x:v>題幹條件配對錯誤</x:v>
      </x:c>
      <x:c r="X108" s="34" t="str">
        <x:v>題幹條件配對錯誤</x:v>
      </x:c>
      <x:c r="Y108" s="34" t="str">
        <x:v>火力發電依靠煤、石油或天然氣等燃料，不屬於再生能源；再生能源則可在自然循環中持續補充。</x:v>
      </x:c>
      <x:c r="Z108" s="34" t="str">
        <x:v>消費會受到需求、價格、品質、廣告與同儕流行等因素影響，仍應先判斷是否真正需要。</x:v>
      </x:c>
      <x:c r="AA108" s="34" t="str">
        <x:v>投資報酬並不保證，風險是結果可能獲利也可能虧損；選擇前要評估自己能承受的損失。</x:v>
      </x:c>
      <x:c r="AB108" s="34" t="str">
        <x:v>A</x:v>
      </x:c>
      <x:c r="AC108" s="34" t="str">
        <x:v>這項說明能直接支持「西元1895年」，也補上題目背後的課本知識。</x:v>
      </x:c>
      <x:c r="AD108" s="34" t="str">
        <x:v>這項知識本身可能正確，但屬於其他單元，不能用來證明本題答案。</x:v>
      </x:c>
      <x:c r="AE108" s="34" t="str">
        <x:v>這段資料談的是另一個主題，和目前題幹缺少直接關係。</x:v>
      </x:c>
      <x:c r="AF108" s="34" t="str">
        <x:v>回到課本地圖、時間線或表格，找出能再次驗證這個答案的資料。</x:v>
      </x:c>
      <x:c r="AG108" s="34" t="str">
        <x:v>月考卷A</x:v>
      </x:c>
      <x:c r="AH108" s="34" t="str">
        <x:v>A05_5下社會月考卷_第三~四單元_教用_.pdf</x:v>
      </x:c>
      <x:c r="AI108" s="34" t="n">
        <x:v>3</x:v>
      </x:c>
    </x:row>
    <x:row r="109" ht="76" customHeight="1">
      <x:c r="A109" s="34" t="str">
        <x:v>5B-U3</x:v>
      </x:c>
      <x:c r="B109" s="34" t="str">
        <x:v>五下</x:v>
      </x:c>
      <x:c r="C109" s="34" t="n">
        <x:v>3</x:v>
      </x:c>
      <x:c r="D109" s="34" t="str">
        <x:v>臺灣電力的發展</x:v>
      </x:c>
      <x:c r="E109" s="34" t="str">
        <x:v>5B-U3-PAPER</x:v>
      </x:c>
      <x:c r="F109" s="34" t="n">
        <x:v>15</x:v>
      </x:c>
      <x:c r="G109" s="34" t="str">
        <x:v>隨堂卷</x:v>
      </x:c>
      <x:c r="H109" s="34" t="str">
        <x:v>西元1930年代，日本人在哪一個地方興建水力發電廠，成為東亞最大的水力發電設施？</x:v>
      </x:c>
      <x:c r="I109" s="34" t="str">
        <x:v>日月潭</x:v>
      </x:c>
      <x:c r="J109" s="34" t="str">
        <x:v>曾文溪</x:v>
      </x:c>
      <x:c r="K109" s="34" t="str">
        <x:v>八掌溪</x:v>
      </x:c>
      <x:c r="L109" s="34" t="str">
        <x:v>高屏溪</x:v>
      </x:c>
      <x:c r="M109" s="34" t="str">
        <x:v>A</x:v>
      </x:c>
      <x:c r="N109" s="34" t="str">
        <x:v>日月潭</x:v>
      </x:c>
      <x:c r="O109" s="34" t="str">
        <x:v>抓住題幹的關鍵詞，再比較每個選項和課本內容是否相符。</x:v>
      </x:c>
      <x:c r="P109" s="34" t="str">
        <x:v>判斷重點不在字數，而在內容是否符合課本；答案是「日月潭」。水力發電利用水流，但會受降雨與水量影響，興建設施也可能改變河川環境。</x:v>
      </x:c>
      <x:c r="Q109" s="34" t="str">
        <x:v>沒錯，課本中的相關資料支持「日月潭」。水力發電利用水流，但會受降雨與水量影響，興建設施也可能改變河川環境。</x:v>
      </x:c>
      <x:c r="R109" s="34" t="str">
        <x:v>「曾文溪」沒有符合題幹限定的條件。正確方向是「日月潭」；水力發電利用水流，但會受降雨與水量影響，興建設施也可能改變河川環境。</x:v>
      </x:c>
      <x:c r="S109" s="34" t="str">
        <x:v>先不要選「八掌溪」。把人物、地點或概念重新配對後，應是「日月潭」。水力發電利用水流，但會受降雨與水量影響，興建設施也可能改變河川環境。</x:v>
      </x:c>
      <x:c r="T109" s="34" t="str">
        <x:v>「高屏溪」是干擾資料，和本題線索對不上；請改從「日月潭」思考。水力發電利用水流，但會受降雨與水量影響，興建設施也可能改變河川環境。</x:v>
      </x:c>
      <x:c r="U109" s="34" t="str">
        <x:v>判斷正確</x:v>
      </x:c>
      <x:c r="V109" s="34" t="str">
        <x:v>題幹條件配對錯誤</x:v>
      </x:c>
      <x:c r="W109" s="34" t="str">
        <x:v>題幹條件配對錯誤</x:v>
      </x:c>
      <x:c r="X109" s="34" t="str">
        <x:v>題幹條件配對錯誤</x:v>
      </x:c>
      <x:c r="Y109" s="34" t="str">
        <x:v>水力發電利用水流，但會受降雨與水量影響，興建設施也可能改變河川環境。</x:v>
      </x:c>
      <x:c r="Z109" s="34" t="str">
        <x:v>八仙洞遺址可見舊石器時代的生活線索，當時人們主要採集、狩獵，尚未發展農耕定居。</x:v>
      </x:c>
      <x:c r="AA109" s="34" t="str">
        <x:v>臺灣東部多陡峭斷崖、西部多平直沙岸、北部多岬灣，南部則可見珊瑚礁海岸；高雄港利用潟湖地形發展。</x:v>
      </x:c>
      <x:c r="AB109" s="34" t="str">
        <x:v>A</x:v>
      </x:c>
      <x:c r="AC109" s="34" t="str">
        <x:v>這項說明能直接支持「日月潭」，也補上題目背後的課本知識。</x:v>
      </x:c>
      <x:c r="AD109" s="34" t="str">
        <x:v>這項知識本身可能正確，但屬於其他單元，不能用來證明本題答案。</x:v>
      </x:c>
      <x:c r="AE109" s="34" t="str">
        <x:v>這段資料談的是另一個主題，和目前題幹缺少直接關係。</x:v>
      </x:c>
      <x:c r="AF109" s="34" t="str">
        <x:v>回到課本地圖、時間線或表格，找出能再次驗證這個答案的資料。</x:v>
      </x:c>
      <x:c r="AG109" s="34" t="str">
        <x:v>隨堂卷</x:v>
      </x:c>
      <x:c r="AH109" s="34" t="str">
        <x:v>03_5下社會隨堂卷_第三單元臺灣電力的發展_教用.pdf</x:v>
      </x:c>
      <x:c r="AI109" s="34" t="n">
        <x:v>8</x:v>
      </x:c>
    </x:row>
    <x:row r="110" ht="76" customHeight="1">
      <x:c r="A110" s="35" t="str">
        <x:v>5B-U4</x:v>
      </x:c>
      <x:c r="B110" s="35" t="str">
        <x:v>五下</x:v>
      </x:c>
      <x:c r="C110" s="35" t="n">
        <x:v>4</x:v>
      </x:c>
      <x:c r="D110" s="35" t="str">
        <x:v>經濟與生活</x:v>
      </x:c>
      <x:c r="E110" s="35" t="str">
        <x:v>5B-U4-PAPER</x:v>
      </x:c>
      <x:c r="F110" s="35" t="n">
        <x:v>1</x:v>
      </x:c>
      <x:c r="G110" s="35" t="str">
        <x:v>隨堂卷</x:v>
      </x:c>
      <x:c r="H110" s="35" t="str">
        <x:v>透過哪一種方式，能將家中閒置的資源發揮最大價值？</x:v>
      </x:c>
      <x:c r="I110" s="35" t="str">
        <x:v>運到垃圾場丟棄</x:v>
      </x:c>
      <x:c r="J110" s="35" t="str">
        <x:v>透過共享模式分享資源</x:v>
      </x:c>
      <x:c r="K110" s="35" t="str">
        <x:v>堆置在公園</x:v>
      </x:c>
      <x:c r="L110" s="35" t="str">
        <x:v>將其燒毀</x:v>
      </x:c>
      <x:c r="M110" s="35" t="str">
        <x:v>B</x:v>
      </x:c>
      <x:c r="N110" s="35" t="str">
        <x:v>透過共享模式分享資源</x:v>
      </x:c>
      <x:c r="O110" s="35" t="str">
        <x:v>抓住題幹的關鍵詞，再比較每個選項和課本內容是否相符。</x:v>
      </x:c>
      <x:c r="P110" s="35" t="str">
        <x:v>關鍵答案是「透過共享模式分享資源」。循環經濟重視減少廢棄、延長物品使用時間並回收再利用，目標是降低資源消耗與污染。</x:v>
      </x:c>
      <x:c r="Q110" s="35" t="str">
        <x:v>「運到垃圾場丟棄」沒有符合題幹限定的條件。正確方向是「透過共享模式分享資源」；循環經濟重視減少廢棄、延長物品使用時間並回收再利用，目標是降低資源消耗與污染。</x:v>
      </x:c>
      <x:c r="R110" s="35" t="str">
        <x:v>答對了，「透過共享模式分享資源」和題幹線索相符。循環經濟重視減少廢棄、延長物品使用時間並回收再利用，目標是降低資源消耗與污染。</x:v>
      </x:c>
      <x:c r="S110" s="35" t="str">
        <x:v>「堆置在公園」是干擾資料，和本題線索對不上；請改從「透過共享模式分享資源」思考。循環經濟重視減少廢棄、延長物品使用時間並回收再利用，目標是降低資源消耗與污染。</x:v>
      </x:c>
      <x:c r="T110" s="35" t="str">
        <x:v>這題不是在找「將其燒毀」。對照課本後，「透過共享模式分享資源」才符合題意。循環經濟重視減少廢棄、延長物品使用時間並回收再利用，目標是降低資源消耗與污染。</x:v>
      </x:c>
      <x:c r="U110" s="35" t="str">
        <x:v>題幹條件配對錯誤</x:v>
      </x:c>
      <x:c r="V110" s="35" t="str">
        <x:v>判斷正確</x:v>
      </x:c>
      <x:c r="W110" s="35" t="str">
        <x:v>題幹條件配對錯誤</x:v>
      </x:c>
      <x:c r="X110" s="35" t="str">
        <x:v>題幹條件配對錯誤</x:v>
      </x:c>
      <x:c r="Y110" s="35" t="str">
        <x:v>循環經濟重視減少廢棄、延長物品使用時間並回收再利用，目標是降低資源消耗與污染。</x:v>
      </x:c>
      <x:c r="Z110" s="35" t="str">
        <x:v>法律由國家制定並具有強制力，可維持秩序、保障權利；少年事件處理法重視未成年人的健全成長。</x:v>
      </x:c>
      <x:c r="AA110" s="35" t="str">
        <x:v>臺灣周邊海流交會，帶來多樣漁業資源；過度捕撈會使魚群減少，因此需要適當的取用與管理。</x:v>
      </x:c>
      <x:c r="AB110" s="35" t="str">
        <x:v>A</x:v>
      </x:c>
      <x:c r="AC110" s="35" t="str">
        <x:v>這項說明能直接支持「透過共享模式分享資源」，也補上題目背後的課本知識。</x:v>
      </x:c>
      <x:c r="AD110" s="35" t="str">
        <x:v>這項知識本身可能正確，但屬於其他單元，不能用來證明本題答案。</x:v>
      </x:c>
      <x:c r="AE110" s="35" t="str">
        <x:v>這段資料談的是另一個主題，和目前題幹缺少直接關係。</x:v>
      </x:c>
      <x:c r="AF110" s="35" t="str">
        <x:v>回到課本地圖、時間線或表格，找出能再次驗證這個答案的資料。</x:v>
      </x:c>
      <x:c r="AG110" s="35" t="str">
        <x:v>隨堂卷</x:v>
      </x:c>
      <x:c r="AH110" s="35" t="str">
        <x:v>04_5下社會隨堂卷_第四單元經濟與生活_教用.pdf</x:v>
      </x:c>
      <x:c r="AI110" s="35" t="n">
        <x:v>2</x:v>
      </x:c>
    </x:row>
    <x:row r="111" ht="76" customHeight="1">
      <x:c r="A111" s="35" t="str">
        <x:v>5B-U4</x:v>
      </x:c>
      <x:c r="B111" s="35" t="str">
        <x:v>五下</x:v>
      </x:c>
      <x:c r="C111" s="35" t="n">
        <x:v>4</x:v>
      </x:c>
      <x:c r="D111" s="35" t="str">
        <x:v>經濟與生活</x:v>
      </x:c>
      <x:c r="E111" s="35" t="str">
        <x:v>5B-U4-PAPER</x:v>
      </x:c>
      <x:c r="F111" s="35" t="n">
        <x:v>2</x:v>
      </x:c>
      <x:c r="G111" s="35" t="str">
        <x:v>月考卷A</x:v>
      </x:c>
      <x:c r="H111" s="35" t="str">
        <x:v>根據統計，近年來網路詐騙件數不停攀升，這種狀況的發生主要受什麼因素影響？</x:v>
      </x:c>
      <x:c r="I111" s="35" t="str">
        <x:v>網路交易比實體交易更不方便</x:v>
      </x:c>
      <x:c r="J111" s="35" t="str">
        <x:v>網路交易頻繁</x:v>
      </x:c>
      <x:c r="K111" s="35" t="str">
        <x:v>使用線上購物的人愈來愈少</x:v>
      </x:c>
      <x:c r="L111" s="35" t="str">
        <x:v>網路商店比實體商店的售價更高</x:v>
      </x:c>
      <x:c r="M111" s="35" t="str">
        <x:v>B</x:v>
      </x:c>
      <x:c r="N111" s="35" t="str">
        <x:v>網路交易頻繁</x:v>
      </x:c>
      <x:c r="O111" s="35" t="str">
        <x:v>找出題幹中的原因與結果，檢查兩者是否能連起來。</x:v>
      </x:c>
      <x:c r="P111" s="35" t="str">
        <x:v>依課本內容，這題應選「網路交易頻繁」。可疑中獎、轉帳或假包裹訊息可能是詐騙；不要急著付款，應利用 165 等正式管道查證。</x:v>
      </x:c>
      <x:c r="Q111" s="35" t="str">
        <x:v>先不要選「網路交易比實體交易更不方便」。把人物、地點或概念重新配對後，應是「網路交易頻繁」。可疑中獎、轉帳或假包裹訊息可能是詐騙；不要急著付款，應利用 165 等正式管道查證。</x:v>
      </x:c>
      <x:c r="R111" s="35" t="str">
        <x:v>判斷正確！你找到了「網路交易頻繁」這個關鍵。可疑中獎、轉帳或假包裹訊息可能是詐騙；不要急著付款，應利用 165 等正式管道查證。</x:v>
      </x:c>
      <x:c r="S111" s="35" t="str">
        <x:v>這題不是在找「使用線上購物的人愈來愈少」。對照課本後，「網路交易頻繁」才符合題意。可疑中獎、轉帳或假包裹訊息可能是詐騙；不要急著付款，應利用 165 等正式管道查證。</x:v>
      </x:c>
      <x:c r="T111" s="35" t="str">
        <x:v>選項「網路商店比實體商店的售價更高」混入了不同背景的資料。回看題幹，應選「網路交易頻繁」。可疑中獎、轉帳或假包裹訊息可能是詐騙；不要急著付款，應利用 165 等正式管道查證。</x:v>
      </x:c>
      <x:c r="U111" s="35" t="str">
        <x:v>題幹條件配對錯誤</x:v>
      </x:c>
      <x:c r="V111" s="35" t="str">
        <x:v>判斷正確</x:v>
      </x:c>
      <x:c r="W111" s="35" t="str">
        <x:v>題幹條件配對錯誤</x:v>
      </x:c>
      <x:c r="X111" s="35" t="str">
        <x:v>題幹條件配對錯誤</x:v>
      </x:c>
      <x:c r="Y111" s="35" t="str">
        <x:v>可疑中獎、轉帳或假包裹訊息可能是詐騙；不要急著付款，應利用 165 等正式管道查證。</x:v>
      </x:c>
      <x:c r="Z111" s="35" t="str">
        <x:v>臺灣周邊海流交會，帶來多樣漁業資源；過度捕撈會使魚群減少，因此需要適當的取用與管理。</x:v>
      </x:c>
      <x:c r="AA111" s="35" t="str">
        <x:v>臺灣礦業曾帶動地方發展，但多數礦產逐漸停採；花蓮仍有大理石礦，瑞芳、九份過去則以煤或金礦聞名。</x:v>
      </x:c>
      <x:c r="AB111" s="35" t="str">
        <x:v>A</x:v>
      </x:c>
      <x:c r="AC111" s="35" t="str">
        <x:v>這項說明能直接支持「網路交易頻繁」，也補上題目背後的課本知識。</x:v>
      </x:c>
      <x:c r="AD111" s="35" t="str">
        <x:v>這項知識本身可能正確，但屬於其他單元，不能用來證明本題答案。</x:v>
      </x:c>
      <x:c r="AE111" s="35" t="str">
        <x:v>這段資料談的是另一個主題，和目前題幹缺少直接關係。</x:v>
      </x:c>
      <x:c r="AF111" s="35" t="str">
        <x:v>回到課本地圖、時間線或表格，找出能再次驗證這個答案的資料。</x:v>
      </x:c>
      <x:c r="AG111" s="35" t="str">
        <x:v>月考卷A</x:v>
      </x:c>
      <x:c r="AH111" s="35" t="str">
        <x:v>A03_5下社會月考卷_第四單元_教用_.pdf</x:v>
      </x:c>
      <x:c r="AI111" s="35" t="n">
        <x:v>1</x:v>
      </x:c>
    </x:row>
    <x:row r="112" ht="76" customHeight="1">
      <x:c r="A112" s="35" t="str">
        <x:v>5B-U4</x:v>
      </x:c>
      <x:c r="B112" s="35" t="str">
        <x:v>五下</x:v>
      </x:c>
      <x:c r="C112" s="35" t="n">
        <x:v>4</x:v>
      </x:c>
      <x:c r="D112" s="35" t="str">
        <x:v>經濟與生活</x:v>
      </x:c>
      <x:c r="E112" s="35" t="str">
        <x:v>5B-U4-PAPER</x:v>
      </x:c>
      <x:c r="F112" s="35" t="n">
        <x:v>3</x:v>
      </x:c>
      <x:c r="G112" s="35" t="str">
        <x:v>月考卷B</x:v>
      </x:c>
      <x:c r="H112" s="35" t="str">
        <x:v>購買到有問題的產品時，可以依據下列哪一部法律的規定，向店家反映？</x:v>
      </x:c>
      <x:c r="I112" s="35" t="str">
        <x:v>刑事訴訟法</x:v>
      </x:c>
      <x:c r="J112" s="35" t="str">
        <x:v>少年事件處理法</x:v>
      </x:c>
      <x:c r="K112" s="35" t="str">
        <x:v>消費者保護法</x:v>
      </x:c>
      <x:c r="L112" s="35" t="str">
        <x:v>著作權法</x:v>
      </x:c>
      <x:c r="M112" s="35" t="str">
        <x:v>C</x:v>
      </x:c>
      <x:c r="N112" s="35" t="str">
        <x:v>消費者保護法</x:v>
      </x:c>
      <x:c r="O112" s="35" t="str">
        <x:v>想想這個情境要保護什麼權利，以及應使用哪個正式管道。</x:v>
      </x:c>
      <x:c r="P112" s="35" t="str">
        <x:v>把題幹線索和課本資料對照，可找到「消費者保護法」。遇到瑕疵商品可保留交易證明、向業者反映，並依消費者保護法或撥打 1950 尋求協助。</x:v>
      </x:c>
      <x:c r="Q112" s="35" t="str">
        <x:v>「刑事訴訟法」是干擾資料，和本題線索對不上；請改從「消費者保護法」思考。遇到瑕疵商品可保留交易證明、向業者反映，並依消費者保護法或撥打 1950 尋求協助。</x:v>
      </x:c>
      <x:c r="R112" s="35" t="str">
        <x:v>這題不是在找「少年事件處理法」。對照課本後，「消費者保護法」才符合題意。遇到瑕疵商品可保留交易證明、向業者反映，並依消費者保護法或撥打 1950 尋求協助。</x:v>
      </x:c>
      <x:c r="S112" s="35" t="str">
        <x:v>沒錯，課本中的相關資料支持「消費者保護法」。遇到瑕疵商品可保留交易證明、向業者反映，並依消費者保護法或撥打 1950 尋求協助。</x:v>
      </x:c>
      <x:c r="T112" s="35" t="str">
        <x:v>「著作權法」沒有符合題幹限定的條件。正確方向是「消費者保護法」；遇到瑕疵商品可保留交易證明、向業者反映，並依消費者保護法或撥打 1950 尋求協助。</x:v>
      </x:c>
      <x:c r="U112" s="35" t="str">
        <x:v>題幹條件配對錯誤</x:v>
      </x:c>
      <x:c r="V112" s="35" t="str">
        <x:v>題幹條件配對錯誤</x:v>
      </x:c>
      <x:c r="W112" s="35" t="str">
        <x:v>判斷正確</x:v>
      </x:c>
      <x:c r="X112" s="35" t="str">
        <x:v>題幹條件配對錯誤</x:v>
      </x:c>
      <x:c r="Y112" s="35" t="str">
        <x:v>遇到瑕疵商品可保留交易證明、向業者反映，並依消費者保護法或撥打 1950 尋求協助。</x:v>
      </x:c>
      <x:c r="Z112" s="35" t="str">
        <x:v>臺灣周邊海流交會，帶來多樣漁業資源；過度捕撈會使魚群減少，因此需要適當的取用與管理。</x:v>
      </x:c>
      <x:c r="AA112" s="35" t="str">
        <x:v>畜牧業能供應肉、蛋、乳品，也需處理傳染病、動物照養與環境污染等問題。</x:v>
      </x:c>
      <x:c r="AB112" s="35" t="str">
        <x:v>A</x:v>
      </x:c>
      <x:c r="AC112" s="35" t="str">
        <x:v>這項說明能直接支持「消費者保護法」，也補上題目背後的課本知識。</x:v>
      </x:c>
      <x:c r="AD112" s="35" t="str">
        <x:v>這項知識本身可能正確，但屬於其他單元，不能用來證明本題答案。</x:v>
      </x:c>
      <x:c r="AE112" s="35" t="str">
        <x:v>這段資料談的是另一個主題，和目前題幹缺少直接關係。</x:v>
      </x:c>
      <x:c r="AF112" s="35" t="str">
        <x:v>回到課本地圖、時間線或表格，找出能再次驗證這個答案的資料。</x:v>
      </x:c>
      <x:c r="AG112" s="35" t="str">
        <x:v>月考卷B</x:v>
      </x:c>
      <x:c r="AH112" s="35" t="str">
        <x:v>B03_5下社會月考卷_第四單元_教用_.pdf</x:v>
      </x:c>
      <x:c r="AI112" s="35" t="n">
        <x:v>1</x:v>
      </x:c>
    </x:row>
    <x:row r="113" ht="76" customHeight="1">
      <x:c r="A113" s="35" t="str">
        <x:v>5B-U4</x:v>
      </x:c>
      <x:c r="B113" s="35" t="str">
        <x:v>五下</x:v>
      </x:c>
      <x:c r="C113" s="35" t="n">
        <x:v>4</x:v>
      </x:c>
      <x:c r="D113" s="35" t="str">
        <x:v>經濟與生活</x:v>
      </x:c>
      <x:c r="E113" s="35" t="str">
        <x:v>5B-U4-PAPER</x:v>
      </x:c>
      <x:c r="F113" s="35" t="n">
        <x:v>4</x:v>
      </x:c>
      <x:c r="G113" s="35" t="str">
        <x:v>月考卷A</x:v>
      </x:c>
      <x:c r="H113" s="35" t="str">
        <x:v>在投資過程中無法確定最終會獲利或虧損，這種情形稱為什麼？</x:v>
      </x:c>
      <x:c r="I113" s="35" t="str">
        <x:v>儲蓄</x:v>
      </x:c>
      <x:c r="J113" s="35" t="str">
        <x:v>保險</x:v>
      </x:c>
      <x:c r="K113" s="35" t="str">
        <x:v>風險</x:v>
      </x:c>
      <x:c r="L113" s="35" t="str">
        <x:v>成本</x:v>
      </x:c>
      <x:c r="M113" s="35" t="str">
        <x:v>C</x:v>
      </x:c>
      <x:c r="N113" s="35" t="str">
        <x:v>風險</x:v>
      </x:c>
      <x:c r="O113" s="35" t="str">
        <x:v>抓住題幹的關鍵詞，再比較每個選項和課本內容是否相符。</x:v>
      </x:c>
      <x:c r="P113" s="35" t="str">
        <x:v>「風險」最符合題目所問的時間、地點或概念。投資報酬並不保證，風險是結果可能獲利也可能虧損；選擇前要評估自己能承受的損失。</x:v>
      </x:c>
      <x:c r="Q113" s="35" t="str">
        <x:v>這題不是在找「儲蓄」。對照課本後，「風險」才符合題意。投資報酬並不保證，風險是結果可能獲利也可能虧損；選擇前要評估自己能承受的損失。</x:v>
      </x:c>
      <x:c r="R113" s="35" t="str">
        <x:v>選項「保險」混入了不同背景的資料。回看題幹，應選「風險」。投資報酬並不保證，風險是結果可能獲利也可能虧損；選擇前要評估自己能承受的損失。</x:v>
      </x:c>
      <x:c r="S113" s="35" t="str">
        <x:v>這項選擇成立；「風險」符合題目要求。投資報酬並不保證，風險是結果可能獲利也可能虧損；選擇前要評估自己能承受的損失。</x:v>
      </x:c>
      <x:c r="T113" s="35" t="str">
        <x:v>先不要選「成本」。把人物、地點或概念重新配對後，應是「風險」。投資報酬並不保證，風險是結果可能獲利也可能虧損；選擇前要評估自己能承受的損失。</x:v>
      </x:c>
      <x:c r="U113" s="35" t="str">
        <x:v>題幹條件配對錯誤</x:v>
      </x:c>
      <x:c r="V113" s="35" t="str">
        <x:v>題幹條件配對錯誤</x:v>
      </x:c>
      <x:c r="W113" s="35" t="str">
        <x:v>判斷正確</x:v>
      </x:c>
      <x:c r="X113" s="35" t="str">
        <x:v>題幹條件配對錯誤</x:v>
      </x:c>
      <x:c r="Y113" s="35" t="str">
        <x:v>投資報酬並不保證，風險是結果可能獲利也可能虧損；選擇前要評估自己能承受的損失。</x:v>
      </x:c>
      <x:c r="Z113" s="35" t="str">
        <x:v>荷蘭人曾以臺灣南部為據點，經營貿易、傳教並課徵稅收；熱蘭遮堡是重要據點。</x:v>
      </x:c>
      <x:c r="AA113" s="35" t="str">
        <x:v>鄭成功驅逐荷蘭人後建立鄭氏政權；鄭經與陳永華推動屯墾、教育等措施，鄭芝龍則較早經營海上勢力。</x:v>
      </x:c>
      <x:c r="AB113" s="35" t="str">
        <x:v>A</x:v>
      </x:c>
      <x:c r="AC113" s="35" t="str">
        <x:v>這項說明能直接支持「風險」，也補上題目背後的課本知識。</x:v>
      </x:c>
      <x:c r="AD113" s="35" t="str">
        <x:v>這項知識本身可能正確，但屬於其他單元，不能用來證明本題答案。</x:v>
      </x:c>
      <x:c r="AE113" s="35" t="str">
        <x:v>這段資料談的是另一個主題，和目前題幹缺少直接關係。</x:v>
      </x:c>
      <x:c r="AF113" s="35" t="str">
        <x:v>回到課本地圖、時間線或表格，找出能再次驗證這個答案的資料。</x:v>
      </x:c>
      <x:c r="AG113" s="35" t="str">
        <x:v>月考卷A</x:v>
      </x:c>
      <x:c r="AH113" s="35" t="str">
        <x:v>A03_5下社會月考卷_第四單元_教用_.pdf</x:v>
      </x:c>
      <x:c r="AI113" s="35" t="n">
        <x:v>2</x:v>
      </x:c>
    </x:row>
    <x:row r="114" ht="76" customHeight="1">
      <x:c r="A114" s="35" t="str">
        <x:v>5B-U4</x:v>
      </x:c>
      <x:c r="B114" s="35" t="str">
        <x:v>五下</x:v>
      </x:c>
      <x:c r="C114" s="35" t="n">
        <x:v>4</x:v>
      </x:c>
      <x:c r="D114" s="35" t="str">
        <x:v>經濟與生活</x:v>
      </x:c>
      <x:c r="E114" s="35" t="str">
        <x:v>5B-U4-PAPER</x:v>
      </x:c>
      <x:c r="F114" s="35" t="n">
        <x:v>5</x:v>
      </x:c>
      <x:c r="G114" s="35" t="str">
        <x:v>月考卷B</x:v>
      </x:c>
      <x:c r="H114" s="35" t="str">
        <x:v>小智在連鎖賣場購買了微波爐，回家只使用幾次後，就發現無法正常加熱。他可以撥打下列哪個專線尋求協助？</x:v>
      </x:c>
      <x:c r="I114" s="35" t="str">
        <x:v>165</x:v>
      </x:c>
      <x:c r="J114" s="35" t="str">
        <x:v>1950</x:v>
      </x:c>
      <x:c r="K114" s="35" t="str">
        <x:v>1999</x:v>
      </x:c>
      <x:c r="L114" s="35" t="str">
        <x:v>168</x:v>
      </x:c>
      <x:c r="M114" s="35" t="str">
        <x:v>B</x:v>
      </x:c>
      <x:c r="N114" s="35" t="str">
        <x:v>1950</x:v>
      </x:c>
      <x:c r="O114" s="35" t="str">
        <x:v>想想這個情境要保護什麼權利，以及應使用哪個正式管道。</x:v>
      </x:c>
      <x:c r="P114" s="35" t="str">
        <x:v>判斷重點不在字數，而在內容是否符合課本；答案是「1950」。遇到瑕疵商品可保留交易證明、向業者反映，並依消費者保護法或撥打 1950 尋求協助。</x:v>
      </x:c>
      <x:c r="Q114" s="35" t="str">
        <x:v>選項「165」混入了不同背景的資料。回看題幹，應選「1950」。遇到瑕疵商品可保留交易證明、向業者反映，並依消費者保護法或撥打 1950 尋求協助。</x:v>
      </x:c>
      <x:c r="R114" s="35" t="str">
        <x:v>答對了，「1950」和題幹線索相符。遇到瑕疵商品可保留交易證明、向業者反映，並依消費者保護法或撥打 1950 尋求協助。</x:v>
      </x:c>
      <x:c r="S114" s="35" t="str">
        <x:v>先不要選「1999」。把人物、地點或概念重新配對後，應是「1950」。遇到瑕疵商品可保留交易證明、向業者反映，並依消費者保護法或撥打 1950 尋求協助。</x:v>
      </x:c>
      <x:c r="T114" s="35" t="str">
        <x:v>「168」是干擾資料，和本題線索對不上；請改從「1950」思考。遇到瑕疵商品可保留交易證明、向業者反映，並依消費者保護法或撥打 1950 尋求協助。</x:v>
      </x:c>
      <x:c r="U114" s="35" t="str">
        <x:v>題幹條件配對錯誤</x:v>
      </x:c>
      <x:c r="V114" s="35" t="str">
        <x:v>判斷正確</x:v>
      </x:c>
      <x:c r="W114" s="35" t="str">
        <x:v>題幹條件配對錯誤</x:v>
      </x:c>
      <x:c r="X114" s="35" t="str">
        <x:v>題幹條件配對錯誤</x:v>
      </x:c>
      <x:c r="Y114" s="35" t="str">
        <x:v>遇到瑕疵商品可保留交易證明、向業者反映，並依消費者保護法或撥打 1950 尋求協助。</x:v>
      </x:c>
      <x:c r="Z114" s="35" t="str">
        <x:v>荷蘭人曾以臺灣南部為據點，經營貿易、傳教並課徵稅收；熱蘭遮堡是重要據點。</x:v>
      </x:c>
      <x:c r="AA114" s="35" t="str">
        <x:v>鄭成功驅逐荷蘭人後建立鄭氏政權；鄭經與陳永華推動屯墾、教育等措施，鄭芝龍則較早經營海上勢力。</x:v>
      </x:c>
      <x:c r="AB114" s="35" t="str">
        <x:v>A</x:v>
      </x:c>
      <x:c r="AC114" s="35" t="str">
        <x:v>這項說明能直接支持「1950」，也補上題目背後的課本知識。</x:v>
      </x:c>
      <x:c r="AD114" s="35" t="str">
        <x:v>這項知識本身可能正確，但屬於其他單元，不能用來證明本題答案。</x:v>
      </x:c>
      <x:c r="AE114" s="35" t="str">
        <x:v>這段資料談的是另一個主題，和目前題幹缺少直接關係。</x:v>
      </x:c>
      <x:c r="AF114" s="35" t="str">
        <x:v>回到課本地圖、時間線或表格，找出能再次驗證這個答案的資料。</x:v>
      </x:c>
      <x:c r="AG114" s="35" t="str">
        <x:v>月考卷B</x:v>
      </x:c>
      <x:c r="AH114" s="35" t="str">
        <x:v>B03_5下社會月考卷_第四單元_教用_.pdf</x:v>
      </x:c>
      <x:c r="AI114" s="35" t="n">
        <x:v>2</x:v>
      </x:c>
    </x:row>
    <x:row r="115" ht="76" customHeight="1">
      <x:c r="A115" s="35" t="str">
        <x:v>5B-U4</x:v>
      </x:c>
      <x:c r="B115" s="35" t="str">
        <x:v>五下</x:v>
      </x:c>
      <x:c r="C115" s="35" t="n">
        <x:v>4</x:v>
      </x:c>
      <x:c r="D115" s="35" t="str">
        <x:v>經濟與生活</x:v>
      </x:c>
      <x:c r="E115" s="35" t="str">
        <x:v>5B-U4-PAPER</x:v>
      </x:c>
      <x:c r="F115" s="35" t="n">
        <x:v>6</x:v>
      </x:c>
      <x:c r="G115" s="35" t="str">
        <x:v>隨堂卷</x:v>
      </x:c>
      <x:c r="H115" s="35" t="str">
        <x:v>小布在購買商品時，會留意商品是否有過度包裝的情形。請問小布在購物時，主要考量的是什麼因素？</x:v>
      </x:c>
      <x:c r="I115" s="35" t="str">
        <x:v>商品對環境的汙染</x:v>
      </x:c>
      <x:c r="J115" s="35" t="str">
        <x:v>流行程度</x:v>
      </x:c>
      <x:c r="K115" s="35" t="str">
        <x:v>個人喜好</x:v>
      </x:c>
      <x:c r="L115" s="35" t="str">
        <x:v>個人收入</x:v>
      </x:c>
      <x:c r="M115" s="35" t="str">
        <x:v>A</x:v>
      </x:c>
      <x:c r="N115" s="35" t="str">
        <x:v>商品對環境的汙染</x:v>
      </x:c>
      <x:c r="O115" s="35" t="str">
        <x:v>找出題幹中的原因與結果，檢查兩者是否能連起來。</x:v>
      </x:c>
      <x:c r="P115" s="35" t="str">
        <x:v>關鍵答案是「商品對環境的汙染」。消費會受到需求、價格、品質、廣告與同儕流行等因素影響，仍應先判斷是否真正需要。</x:v>
      </x:c>
      <x:c r="Q115" s="35" t="str">
        <x:v>判斷正確！你找到了「商品對環境的汙染」這個關鍵。消費會受到需求、價格、品質、廣告與同儕流行等因素影響，仍應先判斷是否真正需要。</x:v>
      </x:c>
      <x:c r="R115" s="35" t="str">
        <x:v>先不要選「流行程度」。把人物、地點或概念重新配對後，應是「商品對環境的汙染」。消費會受到需求、價格、品質、廣告與同儕流行等因素影響，仍應先判斷是否真正需要。</x:v>
      </x:c>
      <x:c r="S115" s="35" t="str">
        <x:v>「個人喜好」是干擾資料，和本題線索對不上；請改從「商品對環境的汙染」思考。消費會受到需求、價格、品質、廣告與同儕流行等因素影響，仍應先判斷是否真正需要。</x:v>
      </x:c>
      <x:c r="T115" s="35" t="str">
        <x:v>這題不是在找「個人收入」。對照課本後，「商品對環境的汙染」才符合題意。消費會受到需求、價格、品質、廣告與同儕流行等因素影響，仍應先判斷是否真正需要。</x:v>
      </x:c>
      <x:c r="U115" s="35" t="str">
        <x:v>判斷正確</x:v>
      </x:c>
      <x:c r="V115" s="35" t="str">
        <x:v>題幹條件配對錯誤</x:v>
      </x:c>
      <x:c r="W115" s="35" t="str">
        <x:v>題幹條件配對錯誤</x:v>
      </x:c>
      <x:c r="X115" s="35" t="str">
        <x:v>題幹條件配對錯誤</x:v>
      </x:c>
      <x:c r="Y115" s="35" t="str">
        <x:v>消費會受到需求、價格、品質、廣告與同儕流行等因素影響，仍應先判斷是否真正需要。</x:v>
      </x:c>
      <x:c r="Z115" s="35" t="str">
        <x:v>這題要從清代移民、開墾、族群互動與地方生活的背景判斷。</x:v>
      </x:c>
      <x:c r="AA115" s="35" t="str">
        <x:v>早期漢人渡過臺灣海峽來臺，航程受到季風、海象與船隻條件影響；『黑水溝』常指澎湖與臺灣島間的危險水域。</x:v>
      </x:c>
      <x:c r="AB115" s="35" t="str">
        <x:v>A</x:v>
      </x:c>
      <x:c r="AC115" s="35" t="str">
        <x:v>這項說明能直接支持「商品對環境的汙染」，也補上題目背後的課本知識。</x:v>
      </x:c>
      <x:c r="AD115" s="35" t="str">
        <x:v>這項知識本身可能正確，但屬於其他單元，不能用來證明本題答案。</x:v>
      </x:c>
      <x:c r="AE115" s="35" t="str">
        <x:v>這段資料談的是另一個主題，和目前題幹缺少直接關係。</x:v>
      </x:c>
      <x:c r="AF115" s="35" t="str">
        <x:v>回到課本地圖、時間線或表格，找出能再次驗證這個答案的資料。</x:v>
      </x:c>
      <x:c r="AG115" s="35" t="str">
        <x:v>隨堂卷</x:v>
      </x:c>
      <x:c r="AH115" s="35" t="str">
        <x:v>04_5下社會隨堂卷_第四單元經濟與生活_教用.pdf</x:v>
      </x:c>
      <x:c r="AI115" s="35" t="n">
        <x:v>4</x:v>
      </x:c>
    </x:row>
    <x:row r="116" ht="76" customHeight="1">
      <x:c r="A116" s="35" t="str">
        <x:v>5B-U4</x:v>
      </x:c>
      <x:c r="B116" s="35" t="str">
        <x:v>五下</x:v>
      </x:c>
      <x:c r="C116" s="35" t="n">
        <x:v>4</x:v>
      </x:c>
      <x:c r="D116" s="35" t="str">
        <x:v>經濟與生活</x:v>
      </x:c>
      <x:c r="E116" s="35" t="str">
        <x:v>5B-U4-PAPER</x:v>
      </x:c>
      <x:c r="F116" s="35" t="n">
        <x:v>7</x:v>
      </x:c>
      <x:c r="G116" s="35" t="str">
        <x:v>月考卷B</x:v>
      </x:c>
      <x:c r="H116" s="35" t="str">
        <x:v>下列是小峰投資理財的管道，其中以哪一種的風險最高？</x:v>
      </x:c>
      <x:c r="I116" s="35" t="str">
        <x:v>購買醫療保險</x:v>
      </x:c>
      <x:c r="J116" s="35" t="str">
        <x:v>銀行儲蓄</x:v>
      </x:c>
      <x:c r="K116" s="35" t="str">
        <x:v>開立定存帳戶</x:v>
      </x:c>
      <x:c r="L116" s="35" t="str">
        <x:v>買賣股票</x:v>
      </x:c>
      <x:c r="M116" s="35" t="str">
        <x:v>D</x:v>
      </x:c>
      <x:c r="N116" s="35" t="str">
        <x:v>買賣股票</x:v>
      </x:c>
      <x:c r="O116" s="35" t="str">
        <x:v>抓住題幹的關鍵詞，再比較每個選項和課本內容是否相符。</x:v>
      </x:c>
      <x:c r="P116" s="35" t="str">
        <x:v>依課本內容，這題應選「買賣股票」。投資報酬並不保證，風險是結果可能獲利也可能虧損；選擇前要評估自己能承受的損失。</x:v>
      </x:c>
      <x:c r="Q116" s="35" t="str">
        <x:v>先不要選「購買醫療保險」。把人物、地點或概念重新配對後，應是「買賣股票」。投資報酬並不保證，風險是結果可能獲利也可能虧損；選擇前要評估自己能承受的損失。</x:v>
      </x:c>
      <x:c r="R116" s="35" t="str">
        <x:v>「銀行儲蓄」是干擾資料，和本題線索對不上；請改從「買賣股票」思考。投資報酬並不保證，風險是結果可能獲利也可能虧損；選擇前要評估自己能承受的損失。</x:v>
      </x:c>
      <x:c r="S116" s="35" t="str">
        <x:v>這題不是在找「開立定存帳戶」。對照課本後，「買賣股票」才符合題意。投資報酬並不保證，風險是結果可能獲利也可能虧損；選擇前要評估自己能承受的損失。</x:v>
      </x:c>
      <x:c r="T116" s="35" t="str">
        <x:v>沒錯，課本中的相關資料支持「買賣股票」。投資報酬並不保證，風險是結果可能獲利也可能虧損；選擇前要評估自己能承受的損失。</x:v>
      </x:c>
      <x:c r="U116" s="35" t="str">
        <x:v>題幹條件配對錯誤</x:v>
      </x:c>
      <x:c r="V116" s="35" t="str">
        <x:v>題幹條件配對錯誤</x:v>
      </x:c>
      <x:c r="W116" s="35" t="str">
        <x:v>題幹條件配對錯誤</x:v>
      </x:c>
      <x:c r="X116" s="35" t="str">
        <x:v>判斷正確</x:v>
      </x:c>
      <x:c r="Y116" s="35" t="str">
        <x:v>投資報酬並不保證，風險是結果可能獲利也可能虧損；選擇前要評估自己能承受的損失。</x:v>
      </x:c>
      <x:c r="Z116" s="35" t="str">
        <x:v>清代移民有不同原鄉與群體，資源競爭有時引發分類械鬥；芝山岩隘門與漳、泉衝突有關。</x:v>
      </x:c>
      <x:c r="AA116" s="35" t="str">
        <x:v>這題要從清代移民、開墾、族群互動與地方生活的背景判斷。</x:v>
      </x:c>
      <x:c r="AB116" s="35" t="str">
        <x:v>A</x:v>
      </x:c>
      <x:c r="AC116" s="35" t="str">
        <x:v>這項說明能直接支持「買賣股票」，也補上題目背後的課本知識。</x:v>
      </x:c>
      <x:c r="AD116" s="35" t="str">
        <x:v>這項知識本身可能正確，但屬於其他單元，不能用來證明本題答案。</x:v>
      </x:c>
      <x:c r="AE116" s="35" t="str">
        <x:v>這段資料談的是另一個主題，和目前題幹缺少直接關係。</x:v>
      </x:c>
      <x:c r="AF116" s="35" t="str">
        <x:v>回到課本地圖、時間線或表格，找出能再次驗證這個答案的資料。</x:v>
      </x:c>
      <x:c r="AG116" s="35" t="str">
        <x:v>月考卷B</x:v>
      </x:c>
      <x:c r="AH116" s="35" t="str">
        <x:v>B03_5下社會月考卷_第四單元_教用_.pdf</x:v>
      </x:c>
      <x:c r="AI116" s="35" t="n">
        <x:v>3</x:v>
      </x:c>
    </x:row>
    <x:row r="117" ht="76" customHeight="1">
      <x:c r="A117" s="35" t="str">
        <x:v>5B-U4</x:v>
      </x:c>
      <x:c r="B117" s="35" t="str">
        <x:v>五下</x:v>
      </x:c>
      <x:c r="C117" s="35" t="n">
        <x:v>4</x:v>
      </x:c>
      <x:c r="D117" s="35" t="str">
        <x:v>經濟與生活</x:v>
      </x:c>
      <x:c r="E117" s="35" t="str">
        <x:v>5B-U4-PAPER</x:v>
      </x:c>
      <x:c r="F117" s="35" t="n">
        <x:v>8</x:v>
      </x:c>
      <x:c r="G117" s="35" t="str">
        <x:v>月考卷A</x:v>
      </x:c>
      <x:c r="H117" s="35" t="str">
        <x:v>關注環保議題的阿牛在購物時，會優先挑選有環保標章的商品。影響阿牛消費活動的主要因素是什麼？</x:v>
      </x:c>
      <x:c r="I117" s="35" t="str">
        <x:v>個人收入</x:v>
      </x:c>
      <x:c r="J117" s="35" t="str">
        <x:v>流行性</x:v>
      </x:c>
      <x:c r="K117" s="35" t="str">
        <x:v>環保意識</x:v>
      </x:c>
      <x:c r="L117" s="35" t="str">
        <x:v>品牌形象</x:v>
      </x:c>
      <x:c r="M117" s="35" t="str">
        <x:v>C</x:v>
      </x:c>
      <x:c r="N117" s="35" t="str">
        <x:v>環保意識</x:v>
      </x:c>
      <x:c r="O117" s="35" t="str">
        <x:v>找出題幹中的原因與結果，檢查兩者是否能連起來。</x:v>
      </x:c>
      <x:c r="P117" s="35" t="str">
        <x:v>把題幹線索和課本資料對照，可找到「環保意識」。消費會受到需求、價格、品質、廣告與同儕流行等因素影響，仍應先判斷是否真正需要。</x:v>
      </x:c>
      <x:c r="Q117" s="35" t="str">
        <x:v>「個人收入」是干擾資料，和本題線索對不上；請改從「環保意識」思考。消費會受到需求、價格、品質、廣告與同儕流行等因素影響，仍應先判斷是否真正需要。</x:v>
      </x:c>
      <x:c r="R117" s="35" t="str">
        <x:v>這題不是在找「流行性」。對照課本後，「環保意識」才符合題意。消費會受到需求、價格、品質、廣告與同儕流行等因素影響，仍應先判斷是否真正需要。</x:v>
      </x:c>
      <x:c r="S117" s="35" t="str">
        <x:v>這項選擇成立；「環保意識」符合題目要求。消費會受到需求、價格、品質、廣告與同儕流行等因素影響，仍應先判斷是否真正需要。</x:v>
      </x:c>
      <x:c r="T117" s="35" t="str">
        <x:v>「品牌形象」沒有符合題幹限定的條件。正確方向是「環保意識」；消費會受到需求、價格、品質、廣告與同儕流行等因素影響，仍應先判斷是否真正需要。</x:v>
      </x:c>
      <x:c r="U117" s="35" t="str">
        <x:v>題幹條件配對錯誤</x:v>
      </x:c>
      <x:c r="V117" s="35" t="str">
        <x:v>題幹條件配對錯誤</x:v>
      </x:c>
      <x:c r="W117" s="35" t="str">
        <x:v>判斷正確</x:v>
      </x:c>
      <x:c r="X117" s="35" t="str">
        <x:v>題幹條件配對錯誤</x:v>
      </x:c>
      <x:c r="Y117" s="35" t="str">
        <x:v>消費會受到需求、價格、品質、廣告與同儕流行等因素影響，仍應先判斷是否真正需要。</x:v>
      </x:c>
      <x:c r="Z117" s="35" t="str">
        <x:v>牡丹社事件後，清廷更重視臺灣防務與治理，逐步採取開山撫番並廢除渡臺限制等政策。</x:v>
      </x:c>
      <x:c r="AA117" s="35" t="str">
        <x:v>這題要連結開港、戰爭、政策與港市發展的因果。</x:v>
      </x:c>
      <x:c r="AB117" s="35" t="str">
        <x:v>A</x:v>
      </x:c>
      <x:c r="AC117" s="35" t="str">
        <x:v>這項說明能直接支持「環保意識」，也補上題目背後的課本知識。</x:v>
      </x:c>
      <x:c r="AD117" s="35" t="str">
        <x:v>這項知識本身可能正確，但屬於其他單元，不能用來證明本題答案。</x:v>
      </x:c>
      <x:c r="AE117" s="35" t="str">
        <x:v>這段資料談的是另一個主題，和目前題幹缺少直接關係。</x:v>
      </x:c>
      <x:c r="AF117" s="35" t="str">
        <x:v>回到課本地圖、時間線或表格，找出能再次驗證這個答案的資料。</x:v>
      </x:c>
      <x:c r="AG117" s="35" t="str">
        <x:v>月考卷A</x:v>
      </x:c>
      <x:c r="AH117" s="35" t="str">
        <x:v>A03_5下社會月考卷_第四單元_教用_.pdf</x:v>
      </x:c>
      <x:c r="AI117" s="35" t="n">
        <x:v>6</x:v>
      </x:c>
    </x:row>
    <x:row r="118" ht="76" customHeight="1">
      <x:c r="A118" s="35" t="str">
        <x:v>5B-U4</x:v>
      </x:c>
      <x:c r="B118" s="35" t="str">
        <x:v>五下</x:v>
      </x:c>
      <x:c r="C118" s="35" t="n">
        <x:v>4</x:v>
      </x:c>
      <x:c r="D118" s="35" t="str">
        <x:v>經濟與生活</x:v>
      </x:c>
      <x:c r="E118" s="35" t="str">
        <x:v>5B-U4-PAPER</x:v>
      </x:c>
      <x:c r="F118" s="35" t="n">
        <x:v>9</x:v>
      </x:c>
      <x:c r="G118" s="35" t="str">
        <x:v>隨堂卷</x:v>
      </x:c>
      <x:c r="H118" s="35" t="str">
        <x:v>下列哪一項不屬於無形的投資？</x:v>
      </x:c>
      <x:c r="I118" s="35" t="str">
        <x:v>強健體魄</x:v>
      </x:c>
      <x:c r="J118" s="35" t="str">
        <x:v>增加學科知識</x:v>
      </x:c>
      <x:c r="K118" s="35" t="str">
        <x:v>熬夜打線上遊戲</x:v>
      </x:c>
      <x:c r="L118" s="35" t="str">
        <x:v>培養良好的人際互動能力</x:v>
      </x:c>
      <x:c r="M118" s="35" t="str">
        <x:v>C</x:v>
      </x:c>
      <x:c r="N118" s="35" t="str">
        <x:v>熬夜打線上遊戲</x:v>
      </x:c>
      <x:c r="O118" s="35" t="str">
        <x:v>先圈出題幹中的否定詞，再逐一檢查四個選項。</x:v>
      </x:c>
      <x:c r="P118" s="35" t="str">
        <x:v>「熬夜打線上遊戲」最符合題目所問的時間、地點或概念。投資報酬並不保證，風險是結果可能獲利也可能虧損；選擇前要評估自己能承受的損失。</x:v>
      </x:c>
      <x:c r="Q118" s="35" t="str">
        <x:v>這題不是在找「強健體魄」。對照課本後，「熬夜打線上遊戲」才符合題意。投資報酬並不保證，風險是結果可能獲利也可能虧損；選擇前要評估自己能承受的損失。</x:v>
      </x:c>
      <x:c r="R118" s="35" t="str">
        <x:v>選項「增加學科知識」混入了不同背景的資料。回看題幹，應選「熬夜打線上遊戲」。投資報酬並不保證，風險是結果可能獲利也可能虧損；選擇前要評估自己能承受的損失。</x:v>
      </x:c>
      <x:c r="S118" s="35" t="str">
        <x:v>答對了，「熬夜打線上遊戲」和題幹線索相符。投資報酬並不保證，風險是結果可能獲利也可能虧損；選擇前要評估自己能承受的損失。</x:v>
      </x:c>
      <x:c r="T118" s="35" t="str">
        <x:v>先不要選「培養良好的人際互動能力」。把人物、地點或概念重新配對後，應是「熬夜打線上遊戲」。投資報酬並不保證，風險是結果可能獲利也可能虧損；選擇前要評估自己能承受的損失。</x:v>
      </x:c>
      <x:c r="U118" s="35" t="str">
        <x:v>題幹條件配對錯誤</x:v>
      </x:c>
      <x:c r="V118" s="35" t="str">
        <x:v>題幹條件配對錯誤</x:v>
      </x:c>
      <x:c r="W118" s="35" t="str">
        <x:v>判斷正確</x:v>
      </x:c>
      <x:c r="X118" s="35" t="str">
        <x:v>題幹條件配對錯誤</x:v>
      </x:c>
      <x:c r="Y118" s="35" t="str">
        <x:v>投資報酬並不保證，風險是結果可能獲利也可能虧損；選擇前要評估自己能承受的損失。</x:v>
      </x:c>
      <x:c r="Z118" s="35" t="str">
        <x:v>劉銘傳是臺灣建省後的首任巡撫，推動鐵路、電報等建設；清法戰爭期間也加強淡水防務。</x:v>
      </x:c>
      <x:c r="AA118" s="35" t="str">
        <x:v>1860 年代臺灣開港通商後，外商設立洋行，外國也設領事館處理外交事務，臺灣更深地進入國際貿易。</x:v>
      </x:c>
      <x:c r="AB118" s="35" t="str">
        <x:v>A</x:v>
      </x:c>
      <x:c r="AC118" s="35" t="str">
        <x:v>這項說明能直接支持「熬夜打線上遊戲」，也補上題目背後的課本知識。</x:v>
      </x:c>
      <x:c r="AD118" s="35" t="str">
        <x:v>這項知識本身可能正確，但屬於其他單元，不能用來證明本題答案。</x:v>
      </x:c>
      <x:c r="AE118" s="35" t="str">
        <x:v>這段資料談的是另一個主題，和目前題幹缺少直接關係。</x:v>
      </x:c>
      <x:c r="AF118" s="35" t="str">
        <x:v>回到課本地圖、時間線或表格，找出能再次驗證這個答案的資料。</x:v>
      </x:c>
      <x:c r="AG118" s="35" t="str">
        <x:v>隨堂卷</x:v>
      </x:c>
      <x:c r="AH118" s="35" t="str">
        <x:v>04_5下社會隨堂卷_第四單元經濟與生活_教用.pdf</x:v>
      </x:c>
      <x:c r="AI118" s="35" t="n">
        <x:v>6</x:v>
      </x:c>
    </x:row>
    <x:row r="119" ht="76" customHeight="1">
      <x:c r="A119" s="35" t="str">
        <x:v>5B-U4</x:v>
      </x:c>
      <x:c r="B119" s="35" t="str">
        <x:v>五下</x:v>
      </x:c>
      <x:c r="C119" s="35" t="n">
        <x:v>4</x:v>
      </x:c>
      <x:c r="D119" s="35" t="str">
        <x:v>經濟與生活</x:v>
      </x:c>
      <x:c r="E119" s="35" t="str">
        <x:v>5B-U4-PAPER</x:v>
      </x:c>
      <x:c r="F119" s="35" t="n">
        <x:v>10</x:v>
      </x:c>
      <x:c r="G119" s="35" t="str">
        <x:v>月考卷A</x:v>
      </x:c>
      <x:c r="H119" s="35" t="str">
        <x:v>下列哪種生產方向，不符合現代循環經濟生產模式？</x:v>
      </x:c>
      <x:c r="I119" s="35" t="str">
        <x:v>產品使用完後只能丟棄</x:v>
      </x:c>
      <x:c r="J119" s="35" t="str">
        <x:v>利用再生能源生產</x:v>
      </x:c>
      <x:c r="K119" s="35" t="str">
        <x:v>產品可以重複使用</x:v>
      </x:c>
      <x:c r="L119" s="35" t="str">
        <x:v>零汙染、零浪費</x:v>
      </x:c>
      <x:c r="M119" s="35" t="str">
        <x:v>A</x:v>
      </x:c>
      <x:c r="N119" s="35" t="str">
        <x:v>產品使用完後只能丟棄</x:v>
      </x:c>
      <x:c r="O119" s="35" t="str">
        <x:v>抓住題幹的關鍵詞，再比較每個選項和課本內容是否相符。</x:v>
      </x:c>
      <x:c r="P119" s="35" t="str">
        <x:v>判斷重點不在字數，而在內容是否符合課本；答案是「產品使用完後只能丟棄」。遇到瑕疵商品可保留交易證明、向業者反映，並依消費者保護法或撥打 1950 尋求協助。</x:v>
      </x:c>
      <x:c r="Q119" s="35" t="str">
        <x:v>判斷正確！你找到了「產品使用完後只能丟棄」這個關鍵。遇到瑕疵商品可保留交易證明、向業者反映，並依消費者保護法或撥打 1950 尋求協助。</x:v>
      </x:c>
      <x:c r="R119" s="35" t="str">
        <x:v>「利用再生能源生產」沒有符合題幹限定的條件。正確方向是「產品使用完後只能丟棄」；遇到瑕疵商品可保留交易證明、向業者反映，並依消費者保護法或撥打 1950 尋求協助。</x:v>
      </x:c>
      <x:c r="S119" s="35" t="str">
        <x:v>先不要選「產品可以重複使用」。把人物、地點或概念重新配對後，應是「產品使用完後只能丟棄」。遇到瑕疵商品可保留交易證明、向業者反映，並依消費者保護法或撥打 1950 尋求協助。</x:v>
      </x:c>
      <x:c r="T119" s="35" t="str">
        <x:v>「零汙染、零浪費」是干擾資料，和本題線索對不上；請改從「產品使用完後只能丟棄」思考。遇到瑕疵商品可保留交易證明、向業者反映，並依消費者保護法或撥打 1950 尋求協助。</x:v>
      </x:c>
      <x:c r="U119" s="35" t="str">
        <x:v>判斷正確</x:v>
      </x:c>
      <x:c r="V119" s="35" t="str">
        <x:v>題幹條件配對錯誤</x:v>
      </x:c>
      <x:c r="W119" s="35" t="str">
        <x:v>題幹條件配對錯誤</x:v>
      </x:c>
      <x:c r="X119" s="35" t="str">
        <x:v>題幹條件配對錯誤</x:v>
      </x:c>
      <x:c r="Y119" s="35" t="str">
        <x:v>遇到瑕疵商品可保留交易證明、向業者反映，並依消費者保護法或撥打 1950 尋求協助。</x:v>
      </x:c>
      <x:c r="Z119" s="35" t="str">
        <x:v>火力發電依靠煤、石油或天然氣等燃料，不屬於再生能源；再生能源則可在自然循環中持續補充。</x:v>
      </x:c>
      <x:c r="AA119" s="35" t="str">
        <x:v>沼氣可由有機廢棄物產生並用來發電，但處理不當的氣味可能影響附近居民。</x:v>
      </x:c>
      <x:c r="AB119" s="35" t="str">
        <x:v>A</x:v>
      </x:c>
      <x:c r="AC119" s="35" t="str">
        <x:v>這項說明能直接支持「產品使用完後只能丟棄」，也補上題目背後的課本知識。</x:v>
      </x:c>
      <x:c r="AD119" s="35" t="str">
        <x:v>這項知識本身可能正確，但屬於其他單元，不能用來證明本題答案。</x:v>
      </x:c>
      <x:c r="AE119" s="35" t="str">
        <x:v>這段資料談的是另一個主題，和目前題幹缺少直接關係。</x:v>
      </x:c>
      <x:c r="AF119" s="35" t="str">
        <x:v>回到課本地圖、時間線或表格，找出能再次驗證這個答案的資料。</x:v>
      </x:c>
      <x:c r="AG119" s="35" t="str">
        <x:v>月考卷A</x:v>
      </x:c>
      <x:c r="AH119" s="35" t="str">
        <x:v>A03_5下社會月考卷_第四單元_教用_.pdf</x:v>
      </x:c>
      <x:c r="AI119" s="35" t="n">
        <x:v>7</x:v>
      </x:c>
    </x:row>
    <x:row r="120" ht="76" customHeight="1">
      <x:c r="A120" s="35" t="str">
        <x:v>5B-U4</x:v>
      </x:c>
      <x:c r="B120" s="35" t="str">
        <x:v>五下</x:v>
      </x:c>
      <x:c r="C120" s="35" t="n">
        <x:v>4</x:v>
      </x:c>
      <x:c r="D120" s="35" t="str">
        <x:v>經濟與生活</x:v>
      </x:c>
      <x:c r="E120" s="35" t="str">
        <x:v>5B-U4-PAPER</x:v>
      </x:c>
      <x:c r="F120" s="35" t="n">
        <x:v>11</x:v>
      </x:c>
      <x:c r="G120" s="35" t="str">
        <x:v>月考卷B</x:v>
      </x:c>
      <x:c r="H120" s="35" t="str">
        <x:v>小齊購買商品前，會先確認自己的零用錢還剩多少。請問影響小齊消費活動的主要因素是什麼？</x:v>
      </x:c>
      <x:c r="I120" s="35" t="str">
        <x:v>環保意識</x:v>
      </x:c>
      <x:c r="J120" s="35" t="str">
        <x:v>個人收入</x:v>
      </x:c>
      <x:c r="K120" s="35" t="str">
        <x:v>流行程度</x:v>
      </x:c>
      <x:c r="L120" s="35" t="str">
        <x:v>品牌形象</x:v>
      </x:c>
      <x:c r="M120" s="35" t="str">
        <x:v>B</x:v>
      </x:c>
      <x:c r="N120" s="35" t="str">
        <x:v>個人收入</x:v>
      </x:c>
      <x:c r="O120" s="35" t="str">
        <x:v>找出題幹中的原因與結果，檢查兩者是否能連起來。</x:v>
      </x:c>
      <x:c r="P120" s="35" t="str">
        <x:v>關鍵答案是「個人收入」。消費會受到需求、價格、品質、廣告與同儕流行等因素影響，仍應先判斷是否真正需要。</x:v>
      </x:c>
      <x:c r="Q120" s="35" t="str">
        <x:v>「環保意識」沒有符合題幹限定的條件。正確方向是「個人收入」；消費會受到需求、價格、品質、廣告與同儕流行等因素影響，仍應先判斷是否真正需要。</x:v>
      </x:c>
      <x:c r="R120" s="35" t="str">
        <x:v>沒錯，課本中的相關資料支持「個人收入」。消費會受到需求、價格、品質、廣告與同儕流行等因素影響，仍應先判斷是否真正需要。</x:v>
      </x:c>
      <x:c r="S120" s="35" t="str">
        <x:v>「流行程度」是干擾資料，和本題線索對不上；請改從「個人收入」思考。消費會受到需求、價格、品質、廣告與同儕流行等因素影響，仍應先判斷是否真正需要。</x:v>
      </x:c>
      <x:c r="T120" s="35" t="str">
        <x:v>這題不是在找「品牌形象」。對照課本後，「個人收入」才符合題意。消費會受到需求、價格、品質、廣告與同儕流行等因素影響，仍應先判斷是否真正需要。</x:v>
      </x:c>
      <x:c r="U120" s="35" t="str">
        <x:v>題幹條件配對錯誤</x:v>
      </x:c>
      <x:c r="V120" s="35" t="str">
        <x:v>判斷正確</x:v>
      </x:c>
      <x:c r="W120" s="35" t="str">
        <x:v>題幹條件配對錯誤</x:v>
      </x:c>
      <x:c r="X120" s="35" t="str">
        <x:v>題幹條件配對錯誤</x:v>
      </x:c>
      <x:c r="Y120" s="35" t="str">
        <x:v>消費會受到需求、價格、品質、廣告與同儕流行等因素影響，仍應先判斷是否真正需要。</x:v>
      </x:c>
      <x:c r="Z120" s="35" t="str">
        <x:v>這題要比較發電方式的條件、限制與對居民或環境的影響。</x:v>
      </x:c>
      <x:c r="AA120" s="35" t="str">
        <x:v>水力發電利用水流，但會受降雨與水量影響，興建設施也可能改變河川環境。</x:v>
      </x:c>
      <x:c r="AB120" s="35" t="str">
        <x:v>A</x:v>
      </x:c>
      <x:c r="AC120" s="35" t="str">
        <x:v>這項說明能直接支持「個人收入」，也補上題目背後的課本知識。</x:v>
      </x:c>
      <x:c r="AD120" s="35" t="str">
        <x:v>這項知識本身可能正確，但屬於其他單元，不能用來證明本題答案。</x:v>
      </x:c>
      <x:c r="AE120" s="35" t="str">
        <x:v>這段資料談的是另一個主題，和目前題幹缺少直接關係。</x:v>
      </x:c>
      <x:c r="AF120" s="35" t="str">
        <x:v>回到課本地圖、時間線或表格，找出能再次驗證這個答案的資料。</x:v>
      </x:c>
      <x:c r="AG120" s="35" t="str">
        <x:v>月考卷B</x:v>
      </x:c>
      <x:c r="AH120" s="35" t="str">
        <x:v>B03_5下社會月考卷_第四單元_教用_.pdf</x:v>
      </x:c>
      <x:c r="AI120" s="35" t="n">
        <x:v>6</x:v>
      </x:c>
    </x:row>
    <x:row r="121" ht="76" customHeight="1">
      <x:c r="A121" s="35" t="str">
        <x:v>5B-U4</x:v>
      </x:c>
      <x:c r="B121" s="35" t="str">
        <x:v>五下</x:v>
      </x:c>
      <x:c r="C121" s="35" t="n">
        <x:v>4</x:v>
      </x:c>
      <x:c r="D121" s="35" t="str">
        <x:v>經濟與生活</x:v>
      </x:c>
      <x:c r="E121" s="35" t="str">
        <x:v>5B-U4-PAPER</x:v>
      </x:c>
      <x:c r="F121" s="35" t="n">
        <x:v>12</x:v>
      </x:c>
      <x:c r="G121" s="35" t="str">
        <x:v>隨堂卷</x:v>
      </x:c>
      <x:c r="H121" s="35" t="str">
        <x:v>企業在追求獲利的同時，也要善盡哪一項責任，才能達到經濟與環保共存的理想？</x:v>
      </x:c>
      <x:c r="I121" s="35" t="str">
        <x:v>社會責任</x:v>
      </x:c>
      <x:c r="J121" s="35" t="str">
        <x:v>法律責任</x:v>
      </x:c>
      <x:c r="K121" s="35" t="str">
        <x:v>道德責任</x:v>
      </x:c>
      <x:c r="L121" s="35" t="str">
        <x:v>賠償責任</x:v>
      </x:c>
      <x:c r="M121" s="35" t="str">
        <x:v>A</x:v>
      </x:c>
      <x:c r="N121" s="35" t="str">
        <x:v>社會責任</x:v>
      </x:c>
      <x:c r="O121" s="35" t="str">
        <x:v>抓住題幹的關鍵詞，再比較每個選項和課本內容是否相符。</x:v>
      </x:c>
      <x:c r="P121" s="35" t="str">
        <x:v>依課本內容，這題應選「社會責任」。投資報酬並不保證，風險是結果可能獲利也可能虧損；選擇前要評估自己能承受的損失。</x:v>
      </x:c>
      <x:c r="Q121" s="35" t="str">
        <x:v>這項選擇成立；「社會責任」符合題目要求。投資報酬並不保證，風險是結果可能獲利也可能虧損；選擇前要評估自己能承受的損失。</x:v>
      </x:c>
      <x:c r="R121" s="35" t="str">
        <x:v>「法律責任」是干擾資料，和本題線索對不上；請改從「社會責任」思考。投資報酬並不保證，風險是結果可能獲利也可能虧損；選擇前要評估自己能承受的損失。</x:v>
      </x:c>
      <x:c r="S121" s="35" t="str">
        <x:v>這題不是在找「道德責任」。對照課本後，「社會責任」才符合題意。投資報酬並不保證，風險是結果可能獲利也可能虧損；選擇前要評估自己能承受的損失。</x:v>
      </x:c>
      <x:c r="T121" s="35" t="str">
        <x:v>選項「賠償責任」混入了不同背景的資料。回看題幹，應選「社會責任」。投資報酬並不保證，風險是結果可能獲利也可能虧損；選擇前要評估自己能承受的損失。</x:v>
      </x:c>
      <x:c r="U121" s="35" t="str">
        <x:v>判斷正確</x:v>
      </x:c>
      <x:c r="V121" s="35" t="str">
        <x:v>題幹條件配對錯誤</x:v>
      </x:c>
      <x:c r="W121" s="35" t="str">
        <x:v>題幹條件配對錯誤</x:v>
      </x:c>
      <x:c r="X121" s="35" t="str">
        <x:v>題幹條件配對錯誤</x:v>
      </x:c>
      <x:c r="Y121" s="35" t="str">
        <x:v>投資報酬並不保證，風險是結果可能獲利也可能虧損；選擇前要評估自己能承受的損失。</x:v>
      </x:c>
      <x:c r="Z121" s="35" t="str">
        <x:v>臺灣位在歐亞板塊與菲律賓海板塊交界附近，板塊推擠形成多山地形，也使地震頻繁。</x:v>
      </x:c>
      <x:c r="AA121" s="35" t="str">
        <x:v>八仙洞遺址可見舊石器時代的生活線索，當時人們主要採集、狩獵，尚未發展農耕定居。</x:v>
      </x:c>
      <x:c r="AB121" s="35" t="str">
        <x:v>A</x:v>
      </x:c>
      <x:c r="AC121" s="35" t="str">
        <x:v>這項說明能直接支持「社會責任」，也補上題目背後的課本知識。</x:v>
      </x:c>
      <x:c r="AD121" s="35" t="str">
        <x:v>這項知識本身可能正確，但屬於其他單元，不能用來證明本題答案。</x:v>
      </x:c>
      <x:c r="AE121" s="35" t="str">
        <x:v>這段資料談的是另一個主題，和目前題幹缺少直接關係。</x:v>
      </x:c>
      <x:c r="AF121" s="35" t="str">
        <x:v>回到課本地圖、時間線或表格，找出能再次驗證這個答案的資料。</x:v>
      </x:c>
      <x:c r="AG121" s="35" t="str">
        <x:v>隨堂卷</x:v>
      </x:c>
      <x:c r="AH121" s="35" t="str">
        <x:v>04_5下社會隨堂卷_第四單元經濟與生活_教用.pdf</x:v>
      </x:c>
      <x:c r="AI121" s="35" t="n">
        <x:v>8</x:v>
      </x:c>
    </x:row>
    <x:row r="122" ht="76" customHeight="1">
      <x:c r="A122" s="35" t="str">
        <x:v>5B-U4</x:v>
      </x:c>
      <x:c r="B122" s="35" t="str">
        <x:v>五下</x:v>
      </x:c>
      <x:c r="C122" s="35" t="n">
        <x:v>4</x:v>
      </x:c>
      <x:c r="D122" s="35" t="str">
        <x:v>經濟與生活</x:v>
      </x:c>
      <x:c r="E122" s="35" t="str">
        <x:v>5B-U4-PAPER</x:v>
      </x:c>
      <x:c r="F122" s="35" t="n">
        <x:v>13</x:v>
      </x:c>
      <x:c r="G122" s="35" t="str">
        <x:v>月考卷A</x:v>
      </x:c>
      <x:c r="H122" s="35" t="str">
        <x:v>「恭喜您抽中東京免費五日遊！請先將手續費三千元轉至下列帳戶，以確保您的中獎權益。」這是娜娜剛收到的一封電子郵件內容，請問她可能遇到了下列哪種資訊危機？</x:v>
      </x:c>
      <x:c r="I122" s="35" t="str">
        <x:v>網路詐騙</x:v>
      </x:c>
      <x:c r="J122" s="35" t="str">
        <x:v>駭客入侵</x:v>
      </x:c>
      <x:c r="K122" s="35" t="str">
        <x:v>網路霸凌</x:v>
      </x:c>
      <x:c r="L122" s="35" t="str">
        <x:v>電腦中毒</x:v>
      </x:c>
      <x:c r="M122" s="35" t="str">
        <x:v>A</x:v>
      </x:c>
      <x:c r="N122" s="35" t="str">
        <x:v>網路詐騙</x:v>
      </x:c>
      <x:c r="O122" s="35" t="str">
        <x:v>抓住題幹的關鍵詞，再比較每個選項和課本內容是否相符。</x:v>
      </x:c>
      <x:c r="P122" s="35" t="str">
        <x:v>把題幹線索和課本資料對照，可找到「網路詐騙」。可疑中獎、轉帳或假包裹訊息可能是詐騙；不要急著付款，應利用 165 等正式管道查證。</x:v>
      </x:c>
      <x:c r="Q122" s="35" t="str">
        <x:v>答對了，「網路詐騙」和題幹線索相符。可疑中獎、轉帳或假包裹訊息可能是詐騙；不要急著付款，應利用 165 等正式管道查證。</x:v>
      </x:c>
      <x:c r="R122" s="35" t="str">
        <x:v>這題不是在找「駭客入侵」。對照課本後，「網路詐騙」才符合題意。可疑中獎、轉帳或假包裹訊息可能是詐騙；不要急著付款，應利用 165 等正式管道查證。</x:v>
      </x:c>
      <x:c r="S122" s="35" t="str">
        <x:v>選項「網路霸凌」混入了不同背景的資料。回看題幹，應選「網路詐騙」。可疑中獎、轉帳或假包裹訊息可能是詐騙；不要急著付款，應利用 165 等正式管道查證。</x:v>
      </x:c>
      <x:c r="T122" s="35" t="str">
        <x:v>「電腦中毒」沒有符合題幹限定的條件。正確方向是「網路詐騙」；可疑中獎、轉帳或假包裹訊息可能是詐騙；不要急著付款，應利用 165 等正式管道查證。</x:v>
      </x:c>
      <x:c r="U122" s="35" t="str">
        <x:v>判斷正確</x:v>
      </x:c>
      <x:c r="V122" s="35" t="str">
        <x:v>題幹條件配對錯誤</x:v>
      </x:c>
      <x:c r="W122" s="35" t="str">
        <x:v>題幹條件配對錯誤</x:v>
      </x:c>
      <x:c r="X122" s="35" t="str">
        <x:v>題幹條件配對錯誤</x:v>
      </x:c>
      <x:c r="Y122" s="35" t="str">
        <x:v>可疑中獎、轉帳或假包裹訊息可能是詐騙；不要急著付款，應利用 165 等正式管道查證。</x:v>
      </x:c>
      <x:c r="Z122" s="35" t="str">
        <x:v>漢本遺址出土外來玻璃飾品等物件，可作為史前人群透過海上交易取得物品的證據。</x:v>
      </x:c>
      <x:c r="AA122" s="35" t="str">
        <x:v>臺灣南方隔著巴士海峽與菲律賓相鄰，顯示臺灣位在東亞與東南亞之間。</x:v>
      </x:c>
      <x:c r="AB122" s="35" t="str">
        <x:v>A</x:v>
      </x:c>
      <x:c r="AC122" s="35" t="str">
        <x:v>這項說明能直接支持「網路詐騙」，也補上題目背後的課本知識。</x:v>
      </x:c>
      <x:c r="AD122" s="35" t="str">
        <x:v>這項知識本身可能正確，但屬於其他單元，不能用來證明本題答案。</x:v>
      </x:c>
      <x:c r="AE122" s="35" t="str">
        <x:v>這段資料談的是另一個主題，和目前題幹缺少直接關係。</x:v>
      </x:c>
      <x:c r="AF122" s="35" t="str">
        <x:v>回到課本地圖、時間線或表格，找出能再次驗證這個答案的資料。</x:v>
      </x:c>
      <x:c r="AG122" s="35" t="str">
        <x:v>月考卷A</x:v>
      </x:c>
      <x:c r="AH122" s="35" t="str">
        <x:v>A05_5下社會月考卷_第三~四單元_教用_.pdf</x:v>
      </x:c>
      <x:c r="AI122" s="35" t="n">
        <x:v>4</x:v>
      </x:c>
    </x:row>
    <x:row r="123" ht="76" customHeight="1">
      <x:c r="A123" s="35" t="str">
        <x:v>5B-U4</x:v>
      </x:c>
      <x:c r="B123" s="35" t="str">
        <x:v>五下</x:v>
      </x:c>
      <x:c r="C123" s="35" t="n">
        <x:v>4</x:v>
      </x:c>
      <x:c r="D123" s="35" t="str">
        <x:v>經濟與生活</x:v>
      </x:c>
      <x:c r="E123" s="35" t="str">
        <x:v>5B-U4-PAPER</x:v>
      </x:c>
      <x:c r="F123" s="35" t="n">
        <x:v>14</x:v>
      </x:c>
      <x:c r="G123" s="35" t="str">
        <x:v>月考卷B</x:v>
      </x:c>
      <x:c r="H123" s="35" t="str">
        <x:v>隨著時代演變，人們也出現了各種不同的消費型態，其中哪一種消費型態的出現時間最早？</x:v>
      </x:c>
      <x:c r="I123" s="35" t="str">
        <x:v>賣場與超商成為人們的購物選擇</x:v>
      </x:c>
      <x:c r="J123" s="35" t="str">
        <x:v>人們普遍透過雜貨店滿足生活需求</x:v>
      </x:c>
      <x:c r="K123" s="35" t="str">
        <x:v>透過以物易物的方式交易</x:v>
      </x:c>
      <x:c r="L123" s="35" t="str">
        <x:v>小販沿街叫賣日常用品</x:v>
      </x:c>
      <x:c r="M123" s="35" t="str">
        <x:v>C</x:v>
      </x:c>
      <x:c r="N123" s="35" t="str">
        <x:v>透過以物易物的方式交易</x:v>
      </x:c>
      <x:c r="O123" s="35" t="str">
        <x:v>抓住題幹的關鍵詞，再比較每個選項和課本內容是否相符。</x:v>
      </x:c>
      <x:c r="P123" s="35" t="str">
        <x:v>「透過以物易物的方式交易」最符合題目所問的時間、地點或概念。這題要從消費權益、詐騙風險、理財或循環利用的角度判斷。</x:v>
      </x:c>
      <x:c r="Q123" s="35" t="str">
        <x:v>這題不是在找「賣場與超商成為人們的購物選擇」。對照課本後，「透過以物易物的方式交易」才符合題意。這題要從消費權益、詐騙風險、理財或循環利用的角度判斷。</x:v>
      </x:c>
      <x:c r="R123" s="35" t="str">
        <x:v>選項「人們普遍透過雜貨店滿足生活需求」混入了不同背景的資料。回看題幹，應選「透過以物易物的方式交易」。這題要從消費權益、詐騙風險、理財或循環利用的角度判斷。</x:v>
      </x:c>
      <x:c r="S123" s="35" t="str">
        <x:v>判斷正確！你找到了「透過以物易物的方式交易」這個關鍵。這題要從消費權益、詐騙風險、理財或循環利用的角度判斷。</x:v>
      </x:c>
      <x:c r="T123" s="35" t="str">
        <x:v>先不要選「小販沿街叫賣日常用品」。把人物、地點或概念重新配對後，應是「透過以物易物的方式交易」。這題要從消費權益、詐騙風險、理財或循環利用的角度判斷。</x:v>
      </x:c>
      <x:c r="U123" s="35" t="str">
        <x:v>題幹條件配對錯誤</x:v>
      </x:c>
      <x:c r="V123" s="35" t="str">
        <x:v>題幹條件配對錯誤</x:v>
      </x:c>
      <x:c r="W123" s="35" t="str">
        <x:v>判斷正確</x:v>
      </x:c>
      <x:c r="X123" s="35" t="str">
        <x:v>題幹條件配對錯誤</x:v>
      </x:c>
      <x:c r="Y123" s="35" t="str">
        <x:v>這題要從消費權益、詐騙風險、理財或循環利用的角度判斷。</x:v>
      </x:c>
      <x:c r="Z123" s="35" t="str">
        <x:v>八仙洞遺址可見舊石器時代的生活線索，當時人們主要採集、狩獵，尚未發展農耕定居。</x:v>
      </x:c>
      <x:c r="AA123" s="35" t="str">
        <x:v>法律由國家制定並具有強制力，可維持秩序、保障權利；少年事件處理法重視未成年人的健全成長。</x:v>
      </x:c>
      <x:c r="AB123" s="35" t="str">
        <x:v>A</x:v>
      </x:c>
      <x:c r="AC123" s="35" t="str">
        <x:v>這項說明能直接支持「透過以物易物的方式交易」，也補上題目背後的課本知識。</x:v>
      </x:c>
      <x:c r="AD123" s="35" t="str">
        <x:v>這項知識本身可能正確，但屬於其他單元，不能用來證明本題答案。</x:v>
      </x:c>
      <x:c r="AE123" s="35" t="str">
        <x:v>這段資料談的是另一個主題，和目前題幹缺少直接關係。</x:v>
      </x:c>
      <x:c r="AF123" s="35" t="str">
        <x:v>回到課本地圖、時間線或表格，找出能再次驗證這個答案的資料。</x:v>
      </x:c>
      <x:c r="AG123" s="35" t="str">
        <x:v>月考卷B</x:v>
      </x:c>
      <x:c r="AH123" s="35" t="str">
        <x:v>B03_5下社會月考卷_第四單元_教用_.pdf</x:v>
      </x:c>
      <x:c r="AI123" s="35" t="n">
        <x:v>7</x:v>
      </x:c>
    </x:row>
    <x:row r="124" ht="76" customHeight="1">
      <x:c r="A124" s="35" t="str">
        <x:v>5B-U4</x:v>
      </x:c>
      <x:c r="B124" s="35" t="str">
        <x:v>五下</x:v>
      </x:c>
      <x:c r="C124" s="35" t="n">
        <x:v>4</x:v>
      </x:c>
      <x:c r="D124" s="35" t="str">
        <x:v>經濟與生活</x:v>
      </x:c>
      <x:c r="E124" s="35" t="str">
        <x:v>5B-U4-PAPER</x:v>
      </x:c>
      <x:c r="F124" s="35" t="n">
        <x:v>15</x:v>
      </x:c>
      <x:c r="G124" s="35" t="str">
        <x:v>月考卷B</x:v>
      </x:c>
      <x:c r="H124" s="35" t="str">
        <x:v>茂野有很多小時候看過的書籍，他可以如何延續這些書的生命？</x:v>
      </x:c>
      <x:c r="I124" s="35" t="str">
        <x:v>放在漂書箱</x:v>
      </x:c>
      <x:c r="J124" s="35" t="str">
        <x:v>存放在收納箱</x:v>
      </x:c>
      <x:c r="K124" s="35" t="str">
        <x:v>堆放在床底下</x:v>
      </x:c>
      <x:c r="L124" s="35" t="str">
        <x:v>隨便丟在路邊讓路人撿拾</x:v>
      </x:c>
      <x:c r="M124" s="35" t="str">
        <x:v>A</x:v>
      </x:c>
      <x:c r="N124" s="35" t="str">
        <x:v>放在漂書箱</x:v>
      </x:c>
      <x:c r="O124" s="35" t="str">
        <x:v>抓住題幹的關鍵詞，再比較每個選項和課本內容是否相符。</x:v>
      </x:c>
      <x:c r="P124" s="35" t="str">
        <x:v>判斷重點不在字數，而在內容是否符合課本；答案是「放在漂書箱」。這題要從消費權益、詐騙風險、理財或循環利用的角度判斷。</x:v>
      </x:c>
      <x:c r="Q124" s="35" t="str">
        <x:v>沒錯，課本中的相關資料支持「放在漂書箱」。這題要從消費權益、詐騙風險、理財或循環利用的角度判斷。</x:v>
      </x:c>
      <x:c r="R124" s="35" t="str">
        <x:v>「存放在收納箱」沒有符合題幹限定的條件。正確方向是「放在漂書箱」；這題要從消費權益、詐騙風險、理財或循環利用的角度判斷。</x:v>
      </x:c>
      <x:c r="S124" s="35" t="str">
        <x:v>先不要選「堆放在床底下」。把人物、地點或概念重新配對後，應是「放在漂書箱」。這題要從消費權益、詐騙風險、理財或循環利用的角度判斷。</x:v>
      </x:c>
      <x:c r="T124" s="35" t="str">
        <x:v>「隨便丟在路邊讓路人撿拾」是干擾資料，和本題線索對不上；請改從「放在漂書箱」思考。這題要從消費權益、詐騙風險、理財或循環利用的角度判斷。</x:v>
      </x:c>
      <x:c r="U124" s="35" t="str">
        <x:v>判斷正確</x:v>
      </x:c>
      <x:c r="V124" s="35" t="str">
        <x:v>題幹條件配對錯誤</x:v>
      </x:c>
      <x:c r="W124" s="35" t="str">
        <x:v>題幹條件配對錯誤</x:v>
      </x:c>
      <x:c r="X124" s="35" t="str">
        <x:v>題幹條件配對錯誤</x:v>
      </x:c>
      <x:c r="Y124" s="35" t="str">
        <x:v>這題要從消費權益、詐騙風險、理財或循環利用的角度判斷。</x:v>
      </x:c>
      <x:c r="Z124" s="35" t="str">
        <x:v>法律由國家制定並具有強制力，可維持秩序、保障權利；少年事件處理法重視未成年人的健全成長。</x:v>
      </x:c>
      <x:c r="AA124" s="35" t="str">
        <x:v>阿美族傳統社會具有母系特色，家族與財產傳承常以女性為重要核心。</x:v>
      </x:c>
      <x:c r="AB124" s="35" t="str">
        <x:v>A</x:v>
      </x:c>
      <x:c r="AC124" s="35" t="str">
        <x:v>這項說明能直接支持「放在漂書箱」，也補上題目背後的課本知識。</x:v>
      </x:c>
      <x:c r="AD124" s="35" t="str">
        <x:v>這項知識本身可能正確，但屬於其他單元，不能用來證明本題答案。</x:v>
      </x:c>
      <x:c r="AE124" s="35" t="str">
        <x:v>這段資料談的是另一個主題，和目前題幹缺少直接關係。</x:v>
      </x:c>
      <x:c r="AF124" s="35" t="str">
        <x:v>回到課本地圖、時間線或表格，找出能再次驗證這個答案的資料。</x:v>
      </x:c>
      <x:c r="AG124" s="35" t="str">
        <x:v>月考卷B</x:v>
      </x:c>
      <x:c r="AH124" s="35" t="str">
        <x:v>B03_5下社會月考卷_第四單元_教用_.pdf</x:v>
      </x:c>
      <x:c r="AI124" s="35" t="n">
        <x:v>8</x:v>
      </x:c>
    </x:row>
  </x:sheetData>
  <x:mergeCells>
    <x:mergeCell ref="A1:AI1"/>
    <x:mergeCell ref="A2:AI2"/>
  </x:mergeCells>
  <x:pageMargins left="0.7" right="0.7" top="0.75" bottom="0.75" header="0.3" footer="0.3"/>
</x:worksheet>
</file>