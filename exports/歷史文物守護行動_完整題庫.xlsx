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703f54465142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題庫總覽" sheetId="1" r:id="Re872daa535f94804"/>
    <x:sheet xmlns:r="http://schemas.openxmlformats.org/officeDocument/2006/relationships" name="完整題庫" sheetId="2" r:id="R14d1751a0f0246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1D2530"/>
      <x:name val="Carlito"/>
    </x:font>
    <x:font>
      <x:sz val="11"/>
      <x:color rgb="FF243746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sz val="10"/>
      <x:color rgb="FF24374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8E8"/>
      </x:patternFill>
    </x:fill>
    <x:fill>
      <x:patternFill patternType="solid">
        <x:fgColor rgb="FFD29B36"/>
      </x:patternFill>
    </x:fill>
    <x:fill>
      <x:patternFill patternType="solid">
        <x:fgColor rgb="FFFFFFFF"/>
      </x:patternFill>
    </x:fill>
    <x:fill>
      <x:patternFill patternType="solid">
        <x:fgColor rgb="FFDFF2E4"/>
      </x:patternFill>
    </x:fill>
    <x:fill>
      <x:patternFill patternType="solid">
        <x:fgColor rgb="FFEAF3F7"/>
      </x:patternFill>
    </x:fill>
  </x:fills>
  <x:borders count="4">
    <x:border>
      <x:left/>
      <x:right/>
      <x:top/>
      <x:bottom/>
      <x:diagonal/>
    </x:border>
    <x:border>
      <x:left style="thin">
        <x:color rgb="FFD8C79E"/>
      </x:left>
      <x:right style="thin">
        <x:color rgb="FFD8C79E"/>
      </x:right>
      <x:top style="thin">
        <x:color rgb="FFD8C79E"/>
      </x:top>
      <x:bottom style="thin">
        <x:color rgb="FFD8C79E"/>
      </x:bottom>
      <x:diagonal/>
    </x:border>
    <x:border>
      <x:left style="thin">
        <x:color rgb="FF8D6A2C"/>
      </x:left>
      <x:right style="thin">
        <x:color rgb="FF8D6A2C"/>
      </x:right>
      <x:top style="thin">
        <x:color rgb="FF8D6A2C"/>
      </x:top>
      <x:bottom style="thin">
        <x:color rgb="FF8D6A2C"/>
      </x:bottom>
      <x:diagonal/>
    </x:border>
    <x:border>
      <x:left style="thin">
        <x:color rgb="FFE0D5BC"/>
      </x:left>
      <x:right style="thin">
        <x:color rgb="FFE0D5BC"/>
      </x:right>
      <x:top style="thin">
        <x:color rgb="FFE0D5BC"/>
      </x:top>
      <x:bottom style="thin">
        <x:color rgb="FFE0D5BC"/>
      </x:bottom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3" xfId="0" applyNumberFormat="1" applyFont="1" applyFill="1" applyBorder="1"/>
    <x:xf numFmtId="0" fontId="7" fillId="5" borderId="3" xfId="0" applyNumberFormat="1" applyFont="1" applyFill="1" applyBorder="1" applyAlignment="1">
      <x:alignment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37e7761ad744a8" /><Relationship Type="http://schemas.openxmlformats.org/officeDocument/2006/relationships/theme" Target="/xl/theme/theme1.xml" Id="R9ab158439c774dff" /><Relationship Type="http://schemas.openxmlformats.org/officeDocument/2006/relationships/sharedStrings" Target="/xl/sharedStrings.xml" Id="R9054acecf842483d" /><Relationship Type="http://schemas.openxmlformats.org/officeDocument/2006/relationships/worksheet" Target="/xl/worksheets/sheet1.xml" Id="Re872daa535f94804" /><Relationship Type="http://schemas.openxmlformats.org/officeDocument/2006/relationships/worksheet" Target="/xl/worksheets/sheet2.xml" Id="R14d1751a0f0246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9" hidden="0" customWidth="1"/>
    <x:col min="3" max="3" width="9" hidden="0" customWidth="1"/>
    <x:col min="4" max="4" width="28" hidden="0" customWidth="1"/>
    <x:col min="5" max="5" width="12" hidden="0" customWidth="1"/>
    <x:col min="6" max="6" width="12" hidden="0" customWidth="1"/>
  </x:cols>
  <x:sheetData>
    <x:row r="1" ht="36" customHeight="1">
      <x:c r="A1" s="4" t="str">
        <x:v>歷史文物守護行動｜五年級社會完整題庫</x:v>
      </x:c>
      <x:c r="B1" s="4"/>
      <x:c r="C1" s="4"/>
      <x:c r="D1" s="4"/>
      <x:c r="E1" s="4"/>
      <x:c r="F1" s="4"/>
    </x:row>
    <x:row r="2" ht="42" customHeight="1">
      <x:c r="A2" s="8" t="str">
        <x:v>10 個單元 × 每單元 15 題｜五年級用語、精簡選項、逐項回饋與跨單元證據</x:v>
      </x:c>
      <x:c r="B2" s="8"/>
      <x:c r="C2" s="8"/>
      <x:c r="D2" s="8"/>
      <x:c r="E2" s="8"/>
      <x:c r="F2" s="8"/>
    </x:row>
    <x:row r="3" ht="24" customHeight="1"/>
    <x:row r="4" ht="24" customHeight="1">
      <x:c r="A4" s="13" t="str">
        <x:v>單元代碼</x:v>
      </x:c>
      <x:c r="B4" s="13" t="str">
        <x:v>學期</x:v>
      </x:c>
      <x:c r="C4" s="13" t="str">
        <x:v>單元</x:v>
      </x:c>
      <x:c r="D4" s="13" t="str">
        <x:v>單元名稱</x:v>
      </x:c>
      <x:c r="E4" s="13" t="str">
        <x:v>題數檢查</x:v>
      </x:c>
      <x:c r="F4" s="13" t="str">
        <x:v>狀態</x:v>
      </x:c>
    </x:row>
    <x:row r="5" ht="24" customHeight="1">
      <x:c r="A5" s="18" t="str">
        <x:v>5A-U1</x:v>
      </x:c>
      <x:c r="B5" s="18" t="str">
        <x:v>五上</x:v>
      </x:c>
      <x:c r="C5" s="18" t="n">
        <x:v>1</x:v>
      </x:c>
      <x:c r="D5" s="18" t="str">
        <x:v>臺灣！我來了</x:v>
      </x:c>
      <x:c r="E5" s="18" t="n">
        <x:f>COUNTIF('完整題庫'!$A$5:$A$154,A5)</x:f>
        <x:v>15</x:v>
      </x:c>
      <x:c r="F5" s="18" t="str">
        <x:f>IF(E5=15,"通過","請檢查")</x:f>
        <x:v>通過</x:v>
      </x:c>
    </x:row>
    <x:row r="6" ht="24" customHeight="1">
      <x:c r="A6" s="18" t="str">
        <x:v>5A-U2</x:v>
      </x:c>
      <x:c r="B6" s="18" t="str">
        <x:v>五上</x:v>
      </x:c>
      <x:c r="C6" s="18" t="n">
        <x:v>2</x:v>
      </x:c>
      <x:c r="D6" s="18" t="str">
        <x:v>島嶼上的生活樣貌</x:v>
      </x:c>
      <x:c r="E6" s="18" t="n">
        <x:f>COUNTIF('完整題庫'!$A$5:$A$154,A6)</x:f>
        <x:v>15</x:v>
      </x:c>
      <x:c r="F6" s="18" t="str">
        <x:f>IF(E6=15,"通過","請檢查")</x:f>
        <x:v>通過</x:v>
      </x:c>
    </x:row>
    <x:row r="7" ht="24" customHeight="1">
      <x:c r="A7" s="18" t="str">
        <x:v>5A-U3</x:v>
      </x:c>
      <x:c r="B7" s="18" t="str">
        <x:v>五上</x:v>
      </x:c>
      <x:c r="C7" s="18" t="n">
        <x:v>3</x:v>
      </x:c>
      <x:c r="D7" s="18" t="str">
        <x:v>臺灣的物產資源</x:v>
      </x:c>
      <x:c r="E7" s="18" t="n">
        <x:f>COUNTIF('完整題庫'!$A$5:$A$154,A7)</x:f>
        <x:v>15</x:v>
      </x:c>
      <x:c r="F7" s="18" t="str">
        <x:f>IF(E7=15,"通過","請檢查")</x:f>
        <x:v>通過</x:v>
      </x:c>
    </x:row>
    <x:row r="8" ht="24" customHeight="1">
      <x:c r="A8" s="18" t="str">
        <x:v>5A-U4</x:v>
      </x:c>
      <x:c r="B8" s="18" t="str">
        <x:v>五上</x:v>
      </x:c>
      <x:c r="C8" s="18" t="n">
        <x:v>4</x:v>
      </x:c>
      <x:c r="D8" s="18" t="str">
        <x:v>看見福爾摩沙</x:v>
      </x:c>
      <x:c r="E8" s="18" t="n">
        <x:f>COUNTIF('完整題庫'!$A$5:$A$154,A8)</x:f>
        <x:v>15</x:v>
      </x:c>
      <x:c r="F8" s="18" t="str">
        <x:f>IF(E8=15,"通過","請檢查")</x:f>
        <x:v>通過</x:v>
      </x:c>
    </x:row>
    <x:row r="9" ht="24" customHeight="1">
      <x:c r="A9" s="18" t="str">
        <x:v>5A-U5</x:v>
      </x:c>
      <x:c r="B9" s="18" t="str">
        <x:v>五上</x:v>
      </x:c>
      <x:c r="C9" s="18" t="n">
        <x:v>5</x:v>
      </x:c>
      <x:c r="D9" s="18" t="str">
        <x:v>發現臺灣之美</x:v>
      </x:c>
      <x:c r="E9" s="18" t="n">
        <x:f>COUNTIF('完整題庫'!$A$5:$A$154,A9)</x:f>
        <x:v>15</x:v>
      </x:c>
      <x:c r="F9" s="18" t="str">
        <x:f>IF(E9=15,"通過","請檢查")</x:f>
        <x:v>通過</x:v>
      </x:c>
    </x:row>
    <x:row r="10" ht="24" customHeight="1">
      <x:c r="A10" s="18" t="str">
        <x:v>5B-U1</x:v>
      </x:c>
      <x:c r="B10" s="18" t="str">
        <x:v>五下</x:v>
      </x:c>
      <x:c r="C10" s="18" t="n">
        <x:v>1</x:v>
      </x:c>
      <x:c r="D10" s="18" t="str">
        <x:v>唐山到臺灣</x:v>
      </x:c>
      <x:c r="E10" s="18" t="n">
        <x:f>COUNTIF('完整題庫'!$A$5:$A$154,A10)</x:f>
        <x:v>15</x:v>
      </x:c>
      <x:c r="F10" s="18" t="str">
        <x:f>IF(E10=15,"通過","請檢查")</x:f>
        <x:v>通過</x:v>
      </x:c>
    </x:row>
    <x:row r="11" ht="24" customHeight="1">
      <x:c r="A11" s="18" t="str">
        <x:v>5B-U2</x:v>
      </x:c>
      <x:c r="B11" s="18" t="str">
        <x:v>五下</x:v>
      </x:c>
      <x:c r="C11" s="18" t="n">
        <x:v>2</x:v>
      </x:c>
      <x:c r="D11" s="18" t="str">
        <x:v>開港通商後的臺灣</x:v>
      </x:c>
      <x:c r="E11" s="18" t="n">
        <x:f>COUNTIF('完整題庫'!$A$5:$A$154,A11)</x:f>
        <x:v>15</x:v>
      </x:c>
      <x:c r="F11" s="18" t="str">
        <x:f>IF(E11=15,"通過","請檢查")</x:f>
        <x:v>通過</x:v>
      </x:c>
    </x:row>
    <x:row r="12" ht="24" customHeight="1">
      <x:c r="A12" s="18" t="str">
        <x:v>5B-U3</x:v>
      </x:c>
      <x:c r="B12" s="18" t="str">
        <x:v>五下</x:v>
      </x:c>
      <x:c r="C12" s="18" t="n">
        <x:v>3</x:v>
      </x:c>
      <x:c r="D12" s="18" t="str">
        <x:v>臺灣電力的發展</x:v>
      </x:c>
      <x:c r="E12" s="18" t="n">
        <x:f>COUNTIF('完整題庫'!$A$5:$A$154,A12)</x:f>
        <x:v>15</x:v>
      </x:c>
      <x:c r="F12" s="18" t="str">
        <x:f>IF(E12=15,"通過","請檢查")</x:f>
        <x:v>通過</x:v>
      </x:c>
    </x:row>
    <x:row r="13" ht="24" customHeight="1">
      <x:c r="A13" s="18" t="str">
        <x:v>5B-U4</x:v>
      </x:c>
      <x:c r="B13" s="18" t="str">
        <x:v>五下</x:v>
      </x:c>
      <x:c r="C13" s="18" t="n">
        <x:v>4</x:v>
      </x:c>
      <x:c r="D13" s="18" t="str">
        <x:v>經濟與生活</x:v>
      </x:c>
      <x:c r="E13" s="18" t="n">
        <x:f>COUNTIF('完整題庫'!$A$5:$A$154,A13)</x:f>
        <x:v>15</x:v>
      </x:c>
      <x:c r="F13" s="18" t="str">
        <x:f>IF(E13=15,"通過","請檢查")</x:f>
        <x:v>通過</x:v>
      </x:c>
    </x:row>
    <x:row r="14" ht="24" customHeight="1">
      <x:c r="A14" s="18" t="str">
        <x:v>5B-U5</x:v>
      </x:c>
      <x:c r="B14" s="18" t="str">
        <x:v>五下</x:v>
      </x:c>
      <x:c r="C14" s="18" t="n">
        <x:v>5</x:v>
      </x:c>
      <x:c r="D14" s="18" t="str">
        <x:v>打造永續的家園</x:v>
      </x:c>
      <x:c r="E14" s="18" t="n">
        <x:f>COUNTIF('完整題庫'!$A$5:$A$154,A14)</x:f>
        <x:v>15</x:v>
      </x:c>
      <x:c r="F14" s="18" t="str">
        <x:f>IF(E14=15,"通過","請檢查")</x:f>
        <x:v>通過</x:v>
      </x:c>
    </x:row>
    <x:row r="15" ht="24" customHeight="1"/>
    <x:row r="16" ht="24" customHeight="1">
      <x:c r="A16" s="21" t="str">
        <x:v>總題數</x:v>
      </x:c>
      <x:c r="B16" s="21" t="str"/>
      <x:c r="C16" s="21" t="str"/>
      <x:c r="D16" s="21" t="str"/>
      <x:c r="E16" s="21" t="n">
        <x:f>SUM(E5:E14)</x:f>
        <x:v>150</x:v>
      </x:c>
      <x:c r="F16" s="21" t="str">
        <x:f>IF(E16=150,"通過","請檢查")</x:f>
        <x:v>通過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8" ySplit="4" topLeftCell="I5" activePane="bottomRight" state="frozen"/>
    </x:sheetView>
  </x:sheetViews>
  <x:sheetFormatPr defaultRowHeight="15"/>
  <x:cols>
    <x:col min="1" max="1" width="14" hidden="0" customWidth="1"/>
    <x:col min="2" max="2" width="7" hidden="0" customWidth="1"/>
    <x:col min="3" max="3" width="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42" hidden="0" customWidth="1"/>
    <x:col min="9" max="9" width="31" hidden="0" customWidth="1"/>
    <x:col min="10" max="10" width="31" hidden="0" customWidth="1"/>
    <x:col min="11" max="11" width="31" hidden="0" customWidth="1"/>
    <x:col min="12" max="12" width="31" hidden="0" customWidth="1"/>
    <x:col min="13" max="13" width="12" hidden="0" customWidth="1"/>
    <x:col min="14" max="14" width="12" hidden="0" customWidth="1"/>
    <x:col min="15" max="15" width="34" hidden="0" customWidth="1"/>
    <x:col min="16" max="16" width="34" hidden="0" customWidth="1"/>
    <x:col min="17" max="17" width="38" hidden="0" customWidth="1"/>
    <x:col min="18" max="18" width="38" hidden="0" customWidth="1"/>
    <x:col min="19" max="19" width="38" hidden="0" customWidth="1"/>
    <x:col min="20" max="20" width="38" hidden="0" customWidth="1"/>
    <x:col min="21" max="21" width="38" hidden="0" customWidth="1"/>
    <x:col min="22" max="22" width="38" hidden="0" customWidth="1"/>
    <x:col min="23" max="23" width="38" hidden="0" customWidth="1"/>
    <x:col min="24" max="24" width="38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35" hidden="0" customWidth="1"/>
  </x:cols>
  <x:sheetData>
    <x:row r="1" ht="34" customHeight="1">
      <x:c r="A1" s="24" t="str">
        <x:v>歷史文物守護行動｜完整題庫（由遊戲題庫同步產生）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4"/>
    </x:row>
    <x:row r="2" ht="42" customHeight="1">
      <x:c r="A2" s="26" t="str">
        <x:v>欄位包含：課程定位、適合五年級閱讀的四選項、差異化回饋、跨單元證據及生活遷移。遊戲會隨機排列答案位置。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  <x:c r="U2" s="26"/>
      <x:c r="V2" s="26"/>
      <x:c r="W2" s="26"/>
      <x:c r="X2" s="26"/>
      <x:c r="Y2" s="26"/>
      <x:c r="Z2" s="26"/>
      <x:c r="AA2" s="26"/>
      <x:c r="AB2" s="26"/>
      <x:c r="AC2" s="26"/>
      <x:c r="AD2" s="26"/>
      <x:c r="AE2" s="26"/>
      <x:c r="AF2" s="26"/>
    </x:row>
    <x:row r="4" ht="46" customHeight="1">
      <x:c r="A4" s="30" t="str">
        <x:v>單元代碼</x:v>
      </x:c>
      <x:c r="B4" s="30" t="str">
        <x:v>學期</x:v>
      </x:c>
      <x:c r="C4" s="30" t="str">
        <x:v>單元</x:v>
      </x:c>
      <x:c r="D4" s="30" t="str">
        <x:v>單元名稱</x:v>
      </x:c>
      <x:c r="E4" s="30" t="str">
        <x:v>學習目標代碼</x:v>
      </x:c>
      <x:c r="F4" s="30" t="str">
        <x:v>題號</x:v>
      </x:c>
      <x:c r="G4" s="30" t="str">
        <x:v>題型</x:v>
      </x:c>
      <x:c r="H4" s="30" t="str">
        <x:v>題目</x:v>
      </x:c>
      <x:c r="I4" s="30" t="str">
        <x:v>選項 A</x:v>
      </x:c>
      <x:c r="J4" s="30" t="str">
        <x:v>選項 B</x:v>
      </x:c>
      <x:c r="K4" s="30" t="str">
        <x:v>選項 C</x:v>
      </x:c>
      <x:c r="L4" s="30" t="str">
        <x:v>選項 D</x:v>
      </x:c>
      <x:c r="M4" s="30" t="str">
        <x:v>正確選項</x:v>
      </x:c>
      <x:c r="N4" s="30" t="str">
        <x:v>正確答案</x:v>
      </x:c>
      <x:c r="O4" s="30" t="str">
        <x:v>提示</x:v>
      </x:c>
      <x:c r="P4" s="30" t="str">
        <x:v>答案解析</x:v>
      </x:c>
      <x:c r="Q4" s="30" t="str">
        <x:v>A 回饋</x:v>
      </x:c>
      <x:c r="R4" s="30" t="str">
        <x:v>B 回饋</x:v>
      </x:c>
      <x:c r="S4" s="30" t="str">
        <x:v>C 回饋</x:v>
      </x:c>
      <x:c r="T4" s="30" t="str">
        <x:v>D 回饋</x:v>
      </x:c>
      <x:c r="U4" s="30" t="str">
        <x:v>A 迷思</x:v>
      </x:c>
      <x:c r="V4" s="30" t="str">
        <x:v>B 迷思</x:v>
      </x:c>
      <x:c r="W4" s="30" t="str">
        <x:v>C 迷思</x:v>
      </x:c>
      <x:c r="X4" s="30" t="str">
        <x:v>D 迷思</x:v>
      </x:c>
      <x:c r="Y4" s="30" t="str">
        <x:v>證據 A</x:v>
      </x:c>
      <x:c r="Z4" s="30" t="str">
        <x:v>證據 B</x:v>
      </x:c>
      <x:c r="AA4" s="30" t="str">
        <x:v>證據 C</x:v>
      </x:c>
      <x:c r="AB4" s="30" t="str">
        <x:v>證據正解</x:v>
      </x:c>
      <x:c r="AC4" s="30" t="str">
        <x:v>證據 A 回饋</x:v>
      </x:c>
      <x:c r="AD4" s="30" t="str">
        <x:v>證據 B 回饋</x:v>
      </x:c>
      <x:c r="AE4" s="30" t="str">
        <x:v>證據 C 回饋</x:v>
      </x:c>
      <x:c r="AF4" s="30" t="str">
        <x:v>遷移情境</x:v>
      </x:c>
    </x:row>
    <x:row r="5" ht="76" customHeight="1">
      <x:c r="A5" s="34" t="str">
        <x:v>5A-U1</x:v>
      </x:c>
      <x:c r="B5" s="34" t="str">
        <x:v>五上</x:v>
      </x:c>
      <x:c r="C5" s="34" t="n">
        <x:v>1</x:v>
      </x:c>
      <x:c r="D5" s="34" t="str">
        <x:v>臺灣！我來了</x:v>
      </x:c>
      <x:c r="E5" s="34" t="str">
        <x:v>5A-U1-O1</x:v>
      </x:c>
      <x:c r="F5" s="34" t="n">
        <x:v>1</x:v>
      </x:c>
      <x:c r="G5" s="34" t="str">
        <x:v>情境判斷</x:v>
      </x:c>
      <x:c r="H5" s="34" t="str">
        <x:v>候鳥由日本南下菲律賓，途中在臺灣休息。哪個答案最合理？</x:v>
      </x:c>
      <x:c r="I5" s="34" t="str">
        <x:v>臺灣是遷徙與交流的中繼點</x:v>
      </x:c>
      <x:c r="J5" s="34" t="str">
        <x:v>臺灣位在亞洲最北端，所以全年寒冷</x:v>
      </x:c>
      <x:c r="K5" s="34" t="str">
        <x:v>所有候鳥只能沿陸地移動</x:v>
      </x:c>
      <x:c r="L5" s="34" t="str">
        <x:v>分族查資料，再比較文化異同</x:v>
      </x:c>
      <x:c r="M5" s="34" t="str">
        <x:v>A</x:v>
      </x:c>
      <x:c r="N5" s="34" t="str">
        <x:v>臺灣是遷徙與交流的中繼點</x:v>
      </x:c>
      <x:c r="O5" s="34" t="str">
        <x:v>先看路線連到哪些地區。</x:v>
      </x:c>
      <x:c r="P5" s="34" t="str">
        <x:v>南北相連的路線直接呈現臺灣的相對位置；氣候、移動方式與面積都不是這筆資料能證明的原因。</x:v>
      </x:c>
      <x:c r="Q5" s="34" t="str">
        <x:v>判斷精準。「臺灣是遷徙與交流的中繼點」直接回應位置與交流，推論沒有超過資料。</x:v>
      </x:c>
      <x:c r="R5" s="34" t="str">
        <x:v>這項推論缺少證據。請確認：先看路線連到哪些地區。</x:v>
      </x:c>
      <x:c r="S5" s="34" t="str">
        <x:v>選項和題意關係較弱。提示：先看路線連到哪些地區。</x:v>
      </x:c>
      <x:c r="T5" s="34" t="str">
        <x:v>「分族查資料，再比較文化異同」是「文化多樣性」的重點，但不能回答本題的「位置與交流」。請回看：先看路線連到哪些地區。</x:v>
      </x:c>
      <x:c r="U5" s="34" t="str">
        <x:v>判斷正確</x:v>
      </x:c>
      <x:c r="V5" s="34" t="str">
        <x:v>忽略時空脈絡</x:v>
      </x:c>
      <x:c r="W5" s="34" t="str">
        <x:v>過度概括</x:v>
      </x:c>
      <x:c r="X5" s="34" t="str">
        <x:v>單因推論</x:v>
      </x:c>
      <x:c r="Y5" s="34" t="str">
        <x:v>先看路線連到哪些地區。</x:v>
      </x:c>
      <x:c r="Z5" s="34" t="str">
        <x:v>環境、季節與歷史共同影響生活</x:v>
      </x:c>
      <x:c r="AA5" s="34" t="str">
        <x:v>限定結論範圍並說明調查限制</x:v>
      </x:c>
      <x:c r="AB5" s="34" t="str">
        <x:v>A</x:v>
      </x:c>
      <x:c r="AC5" s="34" t="str">
        <x:v>這是判斷「位置與交流」時要使用的依據。南北相連的路線直接呈現臺灣的相對位置；氣候、移動方式與面積都不是這筆資料能證明的原因。</x:v>
      </x:c>
      <x:c r="AD5" s="34" t="str">
        <x:v>這是「環境與生活」的重點；本題要判斷的是「位置與交流」，兩者不能互相代替。</x:v>
      </x:c>
      <x:c r="AE5" s="34" t="str">
        <x:v>這項知識屬於「結論界線」，無法支持本題的「位置與交流」判斷。</x:v>
      </x:c>
      <x:c r="AF5" s="34" t="str">
        <x:v>用區域地圖說明臺灣為何是候鳥驛站。</x:v>
      </x:c>
    </x:row>
    <x:row r="6" ht="76" customHeight="1">
      <x:c r="A6" s="34" t="str">
        <x:v>5A-U1</x:v>
      </x:c>
      <x:c r="B6" s="34" t="str">
        <x:v>五上</x:v>
      </x:c>
      <x:c r="C6" s="34" t="n">
        <x:v>1</x:v>
      </x:c>
      <x:c r="D6" s="34" t="str">
        <x:v>臺灣！我來了</x:v>
      </x:c>
      <x:c r="E6" s="34" t="str">
        <x:v>5A-U1-O1</x:v>
      </x:c>
      <x:c r="F6" s="34" t="n">
        <x:v>2</x:v>
      </x:c>
      <x:c r="G6" s="34" t="str">
        <x:v>證據判讀</x:v>
      </x:c>
      <x:c r="H6" s="34" t="str">
        <x:v>哪項資料最能支持「臺灣是遷徙與交流的中繼點」？</x:v>
      </x:c>
      <x:c r="I6" s="34" t="str">
        <x:v>和題目直接有關的資料</x:v>
      </x:c>
      <x:c r="J6" s="34" t="str">
        <x:v>分析資源、語言、組織與治理</x:v>
      </x:c>
      <x:c r="K6" s="34" t="str">
        <x:v>港市帶動文化，但各族群影響不同</x:v>
      </x:c>
      <x:c r="L6" s="34" t="str">
        <x:v>通商壓力、物產與航路共同促成開港</x:v>
      </x:c>
      <x:c r="M6" s="34" t="str">
        <x:v>A</x:v>
      </x:c>
      <x:c r="N6" s="34" t="str">
        <x:v>和題目直接有關的資料</x:v>
      </x:c>
      <x:c r="O6" s="34" t="str">
        <x:v>先看路線連到哪些地區。</x:v>
      </x:c>
      <x:c r="P6" s="34" t="str">
        <x:v>這題檢查的是證據能否直接支持「臺灣位在東亞與東南亞之間，可成為遷徙與交流中繼點」，不是文字長短或票數。南北相連的路線直接呈現臺灣的相對位置；氣候、移動方式與面積都不是這筆資料能證明的原因。</x:v>
      </x:c>
      <x:c r="Q6" s="34" t="str">
        <x:v>這項選擇成立：和題目直接有關的資料。它抓住位置與交流的關鍵條件。</x:v>
      </x:c>
      <x:c r="R6" s="34" t="str">
        <x:v>「分析資源、語言、組織與治理」是「族群衝突」的重點，但不能回答本題的「位置與交流」。請回看：先看路線連到哪些地區。</x:v>
      </x:c>
      <x:c r="S6" s="34" t="str">
        <x:v>「港市帶動文化，但各族群影響不同」是「港市與文化」的重點，但不能回答本題的「位置與交流」。請回看：先看路線連到哪些地區。</x:v>
      </x:c>
      <x:c r="T6" s="34" t="str">
        <x:v>「通商壓力、物產與航路共同促成開港」是「開港背景」的重點，但不能回答本題的「位置與交流」。請回看：先看路線連到哪些地區。</x:v>
      </x:c>
      <x:c r="U6" s="34" t="str">
        <x:v>判斷正確</x:v>
      </x:c>
      <x:c r="V6" s="34" t="str">
        <x:v>過度概括</x:v>
      </x:c>
      <x:c r="W6" s="34" t="str">
        <x:v>單因推論</x:v>
      </x:c>
      <x:c r="X6" s="34" t="str">
        <x:v>證據不足</x:v>
      </x:c>
      <x:c r="Y6" s="34" t="str">
        <x:v>先看路線連到哪些地區。</x:v>
      </x:c>
      <x:c r="Z6" s="34" t="str">
        <x:v>臺灣鄰近航路，利於貿易競爭</x:v>
      </x:c>
      <x:c r="AA6" s="34" t="str">
        <x:v>依能源補充性與環境特性分類</x:v>
      </x:c>
      <x:c r="AB6" s="34" t="str">
        <x:v>A</x:v>
      </x:c>
      <x:c r="AC6" s="34" t="str">
        <x:v>這是判斷「位置與交流」時要使用的依據。南北相連的路線直接呈現臺灣的相對位置；氣候、移動方式與面積都不是這筆資料能證明的原因。</x:v>
      </x:c>
      <x:c r="AD6" s="34" t="str">
        <x:v>這是「航海動機」的重點；本題要判斷的是「位置與交流」，兩者不能互相代替。</x:v>
      </x:c>
      <x:c r="AE6" s="34" t="str">
        <x:v>這項知識屬於「能源分類」，無法支持本題的「位置與交流」判斷。</x:v>
      </x:c>
      <x:c r="AF6" s="34" t="str">
        <x:v>用區域地圖說明臺灣為何是候鳥驛站。</x:v>
      </x:c>
    </x:row>
    <x:row r="7" ht="76" customHeight="1">
      <x:c r="A7" s="34" t="str">
        <x:v>5A-U1</x:v>
      </x:c>
      <x:c r="B7" s="34" t="str">
        <x:v>五上</x:v>
      </x:c>
      <x:c r="C7" s="34" t="n">
        <x:v>1</x:v>
      </x:c>
      <x:c r="D7" s="34" t="str">
        <x:v>臺灣！我來了</x:v>
      </x:c>
      <x:c r="E7" s="34" t="str">
        <x:v>5A-U1-O1</x:v>
      </x:c>
      <x:c r="F7" s="34" t="n">
        <x:v>3</x:v>
      </x:c>
      <x:c r="G7" s="34" t="str">
        <x:v>迷思修正</x:v>
      </x:c>
      <x:c r="H7" s="34" t="str">
        <x:v>有人說：「臺灣位在亞洲最北端，所以全年寒冷」哪個答案能改正這個說法？</x:v>
      </x:c>
      <x:c r="I7" s="34" t="str">
        <x:v>臺灣是遷徙與交流的中繼點</x:v>
      </x:c>
      <x:c r="J7" s="34" t="str">
        <x:v>環境、季節與歷史共同影響生活</x:v>
      </x:c>
      <x:c r="K7" s="34" t="str">
        <x:v>規範與法律的形成及強制力不同</x:v>
      </x:c>
      <x:c r="L7" s="34" t="str">
        <x:v>規範可調整，互助目的仍保留</x:v>
      </x:c>
      <x:c r="M7" s="34" t="str">
        <x:v>A</x:v>
      </x:c>
      <x:c r="N7" s="34" t="str">
        <x:v>臺灣是遷徙與交流的中繼點</x:v>
      </x:c>
      <x:c r="O7" s="34" t="str">
        <x:v>先看路線連到哪些地區。</x:v>
      </x:c>
      <x:c r="P7" s="34" t="str">
        <x:v>迷思「臺灣位在亞洲最北端，所以全年寒冷」的問題，是它沒有處理「候鳥由日本南下菲律賓，途中在臺灣休息」提供的關鍵條件。南北相連的路線直接呈現臺灣的相對位置；氣候、移動方式與面積都不是這筆資料能證明的原因。</x:v>
      </x:c>
      <x:c r="Q7" s="34" t="str">
        <x:v>證據吻合。選項「臺灣是遷徙與交流的中繼點」能把位置與交流的線索合理連起來。</x:v>
      </x:c>
      <x:c r="R7" s="34" t="str">
        <x:v>「環境、季節與歷史共同影響生活」是「環境與生活」的重點，但不能回答本題的「位置與交流」。請回看：先看路線連到哪些地區。</x:v>
      </x:c>
      <x:c r="S7" s="34" t="str">
        <x:v>「規範與法律的形成及強制力不同」是「規範與法律」的重點，但不能回答本題的「位置與交流」。請回看：先看路線連到哪些地區。</x:v>
      </x:c>
      <x:c r="T7" s="34" t="str">
        <x:v>「規範可調整，互助目的仍保留」是「規範變遷」的重點，但不能回答本題的「位置與交流」。請回看：先看路線連到哪些地區。</x:v>
      </x:c>
      <x:c r="U7" s="34" t="str">
        <x:v>判斷正確</x:v>
      </x:c>
      <x:c r="V7" s="34" t="str">
        <x:v>單因推論</x:v>
      </x:c>
      <x:c r="W7" s="34" t="str">
        <x:v>證據不足</x:v>
      </x:c>
      <x:c r="X7" s="34" t="str">
        <x:v>忽略利害關係人</x:v>
      </x:c>
      <x:c r="Y7" s="34" t="str">
        <x:v>先看路線連到哪些地區。</x:v>
      </x:c>
      <x:c r="Z7" s="34" t="str">
        <x:v>通商壓力、物產與航路共同促成開港</x:v>
      </x:c>
      <x:c r="AA7" s="34" t="str">
        <x:v>比較對象、程度、證據與改善方法</x:v>
      </x:c>
      <x:c r="AB7" s="34" t="str">
        <x:v>A</x:v>
      </x:c>
      <x:c r="AC7" s="34" t="str">
        <x:v>這是判斷「位置與交流」時要使用的依據。南北相連的路線直接呈現臺灣的相對位置；氣候、移動方式與面積都不是這筆資料能證明的原因。</x:v>
      </x:c>
      <x:c r="AD7" s="34" t="str">
        <x:v>這是「開港背景」的重點；本題要判斷的是「位置與交流」，兩者不能互相代替。</x:v>
      </x:c>
      <x:c r="AE7" s="34" t="str">
        <x:v>這項知識屬於「分析權衡」，無法支持本題的「位置與交流」判斷。</x:v>
      </x:c>
      <x:c r="AF7" s="34" t="str">
        <x:v>用區域地圖說明臺灣為何是候鳥驛站。</x:v>
      </x:c>
    </x:row>
    <x:row r="8" ht="76" customHeight="1">
      <x:c r="A8" s="34" t="str">
        <x:v>5A-U1</x:v>
      </x:c>
      <x:c r="B8" s="34" t="str">
        <x:v>五上</x:v>
      </x:c>
      <x:c r="C8" s="34" t="n">
        <x:v>1</x:v>
      </x:c>
      <x:c r="D8" s="34" t="str">
        <x:v>臺灣！我來了</x:v>
      </x:c>
      <x:c r="E8" s="34" t="str">
        <x:v>5A-U1-O2</x:v>
      </x:c>
      <x:c r="F8" s="34" t="n">
        <x:v>4</x:v>
      </x:c>
      <x:c r="G8" s="34" t="str">
        <x:v>情境判斷</x:v>
      </x:c>
      <x:c r="H8" s="34" t="str">
        <x:v>小組要判斷臺灣與日本、菲律賓及主要海運線的關係。哪個答案最合理？</x:v>
      </x:c>
      <x:c r="I8" s="34" t="str">
        <x:v>選能看見臺灣、鄰國與航線的區域圖</x:v>
      </x:c>
      <x:c r="J8" s="34" t="str">
        <x:v>只畫鄉鎮界線的臺灣行政圖</x:v>
      </x:c>
      <x:c r="K8" s="34" t="str">
        <x:v>只畫教室座位的平面圖</x:v>
      </x:c>
      <x:c r="L8" s="34" t="str">
        <x:v>長期追蹤保存、參與、就業與環境</x:v>
      </x:c>
      <x:c r="M8" s="34" t="str">
        <x:v>A</x:v>
      </x:c>
      <x:c r="N8" s="34" t="str">
        <x:v>選能看見臺灣、鄰國與航線的區域圖</x:v>
      </x:c>
      <x:c r="O8" s="34" t="str">
        <x:v>地圖不是越細越好，要看研究範圍。</x:v>
      </x:c>
      <x:c r="P8" s="34" t="str">
        <x:v>地圖尺度要配合問題；相對位置研究需要同時看見臺灣、鄰國和航線。</x:v>
      </x:c>
      <x:c r="Q8" s="34" t="str">
        <x:v>這項選擇成立：選能看見臺灣、鄰國與航線的區域圖。它抓住地圖尺度的關鍵條件。</x:v>
      </x:c>
      <x:c r="R8" s="34" t="str">
        <x:v>選項和題意關係較弱。提示：地圖不是越細越好，要看研究範圍。</x:v>
      </x:c>
      <x:c r="S8" s="34" t="str">
        <x:v>這裡混淆了條件與結論。提示：地圖不是越細越好，要看研究範圍。</x:v>
      </x:c>
      <x:c r="T8" s="34" t="str">
        <x:v>「長期追蹤保存、參與、就業與環境」是「地方轉型」的重點，但不能回答本題的「地圖尺度」。請回看：地圖不是越細越好，要看研究範圍。</x:v>
      </x:c>
      <x:c r="U8" s="34" t="str">
        <x:v>判斷正確</x:v>
      </x:c>
      <x:c r="V8" s="34" t="str">
        <x:v>過度概括</x:v>
      </x:c>
      <x:c r="W8" s="34" t="str">
        <x:v>單因推論</x:v>
      </x:c>
      <x:c r="X8" s="34" t="str">
        <x:v>證據不足</x:v>
      </x:c>
      <x:c r="Y8" s="34" t="str">
        <x:v>地圖不是越細越好，要看研究範圍。</x:v>
      </x:c>
      <x:c r="Z8" s="34" t="str">
        <x:v>設禁漁期、尺寸限制並協助轉型</x:v>
      </x:c>
      <x:c r="AA8" s="34" t="str">
        <x:v>通商壓力、物產與航路共同促成開港</x:v>
      </x:c>
      <x:c r="AB8" s="34" t="str">
        <x:v>A</x:v>
      </x:c>
      <x:c r="AC8" s="34" t="str">
        <x:v>這是判斷「地圖尺度」時要使用的依據。地圖尺度要配合問題；相對位置研究需要同時看見臺灣、鄰國和航線。</x:v>
      </x:c>
      <x:c r="AD8" s="34" t="str">
        <x:v>這是「永續漁業」的重點；本題要判斷的是「地圖尺度」，兩者不能互相代替。</x:v>
      </x:c>
      <x:c r="AE8" s="34" t="str">
        <x:v>這項知識屬於「開港背景」，無法支持本題的「地圖尺度」判斷。</x:v>
      </x:c>
      <x:c r="AF8" s="34" t="str">
        <x:v>旅行時依問題切換世界、區域與城市地圖。</x:v>
      </x:c>
    </x:row>
    <x:row r="9" ht="76" customHeight="1">
      <x:c r="A9" s="34" t="str">
        <x:v>5A-U1</x:v>
      </x:c>
      <x:c r="B9" s="34" t="str">
        <x:v>五上</x:v>
      </x:c>
      <x:c r="C9" s="34" t="n">
        <x:v>1</x:v>
      </x:c>
      <x:c r="D9" s="34" t="str">
        <x:v>臺灣！我來了</x:v>
      </x:c>
      <x:c r="E9" s="34" t="str">
        <x:v>5A-U1-O2</x:v>
      </x:c>
      <x:c r="F9" s="34" t="n">
        <x:v>5</x:v>
      </x:c>
      <x:c r="G9" s="34" t="str">
        <x:v>證據判讀</x:v>
      </x:c>
      <x:c r="H9" s="34" t="str">
        <x:v>哪項資料最能支持「選能看見臺灣、鄰國與航線的區域圖」？</x:v>
      </x:c>
      <x:c r="I9" s="34" t="str">
        <x:v>和題目直接有關的資料</x:v>
      </x:c>
      <x:c r="J9" s="34" t="str">
        <x:v>依地理條件發展能源並評估影響</x:v>
      </x:c>
      <x:c r="K9" s="34" t="str">
        <x:v>用共同指標比較各能源的代價</x:v>
      </x:c>
      <x:c r="L9" s="34" t="str">
        <x:v>風險分配與居民參與需要公平</x:v>
      </x:c>
      <x:c r="M9" s="34" t="str">
        <x:v>A</x:v>
      </x:c>
      <x:c r="N9" s="34" t="str">
        <x:v>和題目直接有關的資料</x:v>
      </x:c>
      <x:c r="O9" s="34" t="str">
        <x:v>地圖不是越細越好，要看研究範圍。</x:v>
      </x:c>
      <x:c r="P9" s="34" t="str">
        <x:v>這題檢查的是證據能否直接支持「能同時呈現臺灣、鄰國、周邊海域與航線的東亞區域圖」，不是文字長短或票數。地圖尺度要配合問題；相對位置研究需要同時看見臺灣、鄰國和航線。</x:v>
      </x:c>
      <x:c r="Q9" s="34" t="str">
        <x:v>證據吻合。選項「和題目直接有關的資料」能把地圖尺度的線索合理連起來。</x:v>
      </x:c>
      <x:c r="R9" s="34" t="str">
        <x:v>「依地理條件發展能源並評估影響」是「地理配對」的重點，但不能回答本題的「地圖尺度」。請回看：地圖不是越細越好，要看研究範圍。</x:v>
      </x:c>
      <x:c r="S9" s="34" t="str">
        <x:v>「用共同指標比較各能源的代價」是「能源代價」的重點，但不能回答本題的「地圖尺度」。請回看：地圖不是越細越好，要看研究範圍。</x:v>
      </x:c>
      <x:c r="T9" s="34" t="str">
        <x:v>「風險分配與居民參與需要公平」是「環境正義」的重點，但不能回答本題的「地圖尺度」。請回看：地圖不是越細越好，要看研究範圍。</x:v>
      </x:c>
      <x:c r="U9" s="34" t="str">
        <x:v>判斷正確</x:v>
      </x:c>
      <x:c r="V9" s="34" t="str">
        <x:v>單因推論</x:v>
      </x:c>
      <x:c r="W9" s="34" t="str">
        <x:v>證據不足</x:v>
      </x:c>
      <x:c r="X9" s="34" t="str">
        <x:v>忽略利害關係人</x:v>
      </x:c>
      <x:c r="Y9" s="34" t="str">
        <x:v>地圖不是越細越好，要看研究範圍。</x:v>
      </x:c>
      <x:c r="Z9" s="34" t="str">
        <x:v>限定結論範圍並說明調查限制</x:v>
      </x:c>
      <x:c r="AA9" s="34" t="str">
        <x:v>訂規則、維修配置與歸還責任</x:v>
      </x:c>
      <x:c r="AB9" s="34" t="str">
        <x:v>A</x:v>
      </x:c>
      <x:c r="AC9" s="34" t="str">
        <x:v>這是判斷「地圖尺度」時要使用的依據。地圖尺度要配合問題；相對位置研究需要同時看見臺灣、鄰國和航線。</x:v>
      </x:c>
      <x:c r="AD9" s="34" t="str">
        <x:v>這是「結論界線」的重點；本題要判斷的是「地圖尺度」，兩者不能互相代替。</x:v>
      </x:c>
      <x:c r="AE9" s="34" t="str">
        <x:v>這項知識屬於「共享資源」，無法支持本題的「地圖尺度」判斷。</x:v>
      </x:c>
      <x:c r="AF9" s="34" t="str">
        <x:v>旅行時依問題切換世界、區域與城市地圖。</x:v>
      </x:c>
    </x:row>
    <x:row r="10" ht="76" customHeight="1">
      <x:c r="A10" s="34" t="str">
        <x:v>5A-U1</x:v>
      </x:c>
      <x:c r="B10" s="34" t="str">
        <x:v>五上</x:v>
      </x:c>
      <x:c r="C10" s="34" t="n">
        <x:v>1</x:v>
      </x:c>
      <x:c r="D10" s="34" t="str">
        <x:v>臺灣！我來了</x:v>
      </x:c>
      <x:c r="E10" s="34" t="str">
        <x:v>5A-U1-O2</x:v>
      </x:c>
      <x:c r="F10" s="34" t="n">
        <x:v>6</x:v>
      </x:c>
      <x:c r="G10" s="34" t="str">
        <x:v>迷思修正</x:v>
      </x:c>
      <x:c r="H10" s="34" t="str">
        <x:v>有人說：「只畫鄉鎮界線的臺灣行政圖」哪個答案能改正這個說法？</x:v>
      </x:c>
      <x:c r="I10" s="34" t="str">
        <x:v>選能看見臺灣、鄰國與航線的區域圖</x:v>
      </x:c>
      <x:c r="J10" s="34" t="str">
        <x:v>泥沙堆積使船難進出，港口轉移</x:v>
      </x:c>
      <x:c r="K10" s="34" t="str">
        <x:v>臺灣鄰近航路，利於貿易競爭</x:v>
      </x:c>
      <x:c r="L10" s="34" t="str">
        <x:v>南荷北西，後由鄭成功驅逐荷蘭</x:v>
      </x:c>
      <x:c r="M10" s="34" t="str">
        <x:v>A</x:v>
      </x:c>
      <x:c r="N10" s="34" t="str">
        <x:v>選能看見臺灣、鄰國與航線的區域圖</x:v>
      </x:c>
      <x:c r="O10" s="34" t="str">
        <x:v>地圖不是越細越好，要看研究範圍。</x:v>
      </x:c>
      <x:c r="P10" s="34" t="str">
        <x:v>迷思「只畫鄉鎮界線的臺灣行政圖」的問題，是它沒有處理「小組要判斷臺灣與日本、菲律賓及主要海運線的關係」提供的關鍵條件。地圖尺度要配合問題；相對位置研究需要同時看見臺灣、鄰國和航線。</x:v>
      </x:c>
      <x:c r="Q10" s="34" t="str">
        <x:v>答對了；「選能看見臺灣、鄰國與航線的區域圖」同時保留了地圖尺度需要的範圍與限制。</x:v>
      </x:c>
      <x:c r="R10" s="34" t="str">
        <x:v>「泥沙堆積使船難進出，港口轉移」是「潟湖與港口」的重點，但不能回答本題的「地圖尺度」。請回看：地圖不是越細越好，要看研究範圍。</x:v>
      </x:c>
      <x:c r="S10" s="34" t="str">
        <x:v>「臺灣鄰近航路，利於貿易競爭」是「航海動機」的重點，但不能回答本題的「地圖尺度」。請回看：地圖不是越細越好，要看研究範圍。</x:v>
      </x:c>
      <x:c r="T10" s="34" t="str">
        <x:v>「南荷北西，後由鄭成功驅逐荷蘭」是「時序空間」的重點，但不能回答本題的「地圖尺度」。請回看：地圖不是越細越好，要看研究範圍。</x:v>
      </x:c>
      <x:c r="U10" s="34" t="str">
        <x:v>判斷正確</x:v>
      </x:c>
      <x:c r="V10" s="34" t="str">
        <x:v>證據不足</x:v>
      </x:c>
      <x:c r="W10" s="34" t="str">
        <x:v>忽略利害關係人</x:v>
      </x:c>
      <x:c r="X10" s="34" t="str">
        <x:v>把意見當證據</x:v>
      </x:c>
      <x:c r="Y10" s="34" t="str">
        <x:v>地圖不是越細越好，要看研究範圍。</x:v>
      </x:c>
      <x:c r="Z10" s="34" t="str">
        <x:v>依地理條件發展能源並評估影響</x:v>
      </x:c>
      <x:c r="AA10" s="34" t="str">
        <x:v>相關各方應依資料協商文化與保育</x:v>
      </x:c>
      <x:c r="AB10" s="34" t="str">
        <x:v>A</x:v>
      </x:c>
      <x:c r="AC10" s="34" t="str">
        <x:v>這是判斷「地圖尺度」時要使用的依據。地圖尺度要配合問題；相對位置研究需要同時看見臺灣、鄰國和航線。</x:v>
      </x:c>
      <x:c r="AD10" s="34" t="str">
        <x:v>這是「地理配對」的重點；本題要判斷的是「地圖尺度」，兩者不能互相代替。</x:v>
      </x:c>
      <x:c r="AE10" s="34" t="str">
        <x:v>這項知識屬於「權利權衡」，無法支持本題的「地圖尺度」判斷。</x:v>
      </x:c>
      <x:c r="AF10" s="34" t="str">
        <x:v>旅行時依問題切換世界、區域與城市地圖。</x:v>
      </x:c>
    </x:row>
    <x:row r="11" ht="76" customHeight="1">
      <x:c r="A11" s="34" t="str">
        <x:v>5A-U1</x:v>
      </x:c>
      <x:c r="B11" s="34" t="str">
        <x:v>五上</x:v>
      </x:c>
      <x:c r="C11" s="34" t="n">
        <x:v>1</x:v>
      </x:c>
      <x:c r="D11" s="34" t="str">
        <x:v>臺灣！我來了</x:v>
      </x:c>
      <x:c r="E11" s="34" t="str">
        <x:v>5A-U1-O3</x:v>
      </x:c>
      <x:c r="F11" s="34" t="n">
        <x:v>7</x:v>
      </x:c>
      <x:c r="G11" s="34" t="str">
        <x:v>情境判斷</x:v>
      </x:c>
      <x:c r="H11" s="34" t="str">
        <x:v>臺灣多山，且地震發生頻繁。哪個答案最合理？</x:v>
      </x:c>
      <x:c r="I11" s="34" t="str">
        <x:v>板塊交界造成多山與地震</x:v>
      </x:c>
      <x:c r="J11" s="34" t="str">
        <x:v>北回歸線讓岩石不停震動</x:v>
      </x:c>
      <x:c r="K11" s="34" t="str">
        <x:v>人口集中在西部把山擠高</x:v>
      </x:c>
      <x:c r="L11" s="34" t="str">
        <x:v>限定結論範圍並說明調查限制</x:v>
      </x:c>
      <x:c r="M11" s="34" t="str">
        <x:v>A</x:v>
      </x:c>
      <x:c r="N11" s="34" t="str">
        <x:v>板塊交界造成多山與地震</x:v>
      </x:c>
      <x:c r="O11" s="34" t="str">
        <x:v>找能一次解釋兩個現象的地質條件。</x:v>
      </x:c>
      <x:c r="P11" s="34" t="str">
        <x:v>板塊互相作用能同時解釋造山和地震；緯線、人口與潮汐無法建立這組因果。</x:v>
      </x:c>
      <x:c r="Q11" s="34" t="str">
        <x:v>證據吻合。選項「板塊交界造成多山與地震」能把板塊與地形的線索合理連起來。</x:v>
      </x:c>
      <x:c r="R11" s="34" t="str">
        <x:v>這裡混淆了條件與結論。提示：找能一次解釋兩個現象的地質條件。</x:v>
      </x:c>
      <x:c r="S11" s="34" t="str">
        <x:v>這項判斷忽略重要限制。請想想：找能一次解釋兩個現象的地質條件。</x:v>
      </x:c>
      <x:c r="T11" s="34" t="str">
        <x:v>「限定結論範圍並說明調查限制」是「結論界線」的重點，但不能回答本題的「板塊與地形」。請回看：找能一次解釋兩個現象的地質條件。</x:v>
      </x:c>
      <x:c r="U11" s="34" t="str">
        <x:v>判斷正確</x:v>
      </x:c>
      <x:c r="V11" s="34" t="str">
        <x:v>單因推論</x:v>
      </x:c>
      <x:c r="W11" s="34" t="str">
        <x:v>證據不足</x:v>
      </x:c>
      <x:c r="X11" s="34" t="str">
        <x:v>忽略利害關係人</x:v>
      </x:c>
      <x:c r="Y11" s="34" t="str">
        <x:v>找能一次解釋兩個現象的地質條件。</x:v>
      </x:c>
      <x:c r="Z11" s="34" t="str">
        <x:v>貿易增加，也改變土地與族群關係</x:v>
      </x:c>
      <x:c r="AA11" s="34" t="str">
        <x:v>依地理條件發展能源並評估影響</x:v>
      </x:c>
      <x:c r="AB11" s="34" t="str">
        <x:v>A</x:v>
      </x:c>
      <x:c r="AC11" s="34" t="str">
        <x:v>這是判斷「板塊與地形」時要使用的依據。板塊互相作用能同時解釋造山和地震；緯線、人口與潮汐無法建立這組因果。</x:v>
      </x:c>
      <x:c r="AD11" s="34" t="str">
        <x:v>這是「貿易影響」的重點；本題要判斷的是「板塊與地形」，兩者不能互相代替。</x:v>
      </x:c>
      <x:c r="AE11" s="34" t="str">
        <x:v>這項知識屬於「地理配對」，無法支持本題的「板塊與地形」判斷。</x:v>
      </x:c>
      <x:c r="AF11" s="34" t="str">
        <x:v>遇到地震新聞時，用板塊位置解釋風險。</x:v>
      </x:c>
    </x:row>
    <x:row r="12" ht="76" customHeight="1">
      <x:c r="A12" s="34" t="str">
        <x:v>5A-U1</x:v>
      </x:c>
      <x:c r="B12" s="34" t="str">
        <x:v>五上</x:v>
      </x:c>
      <x:c r="C12" s="34" t="n">
        <x:v>1</x:v>
      </x:c>
      <x:c r="D12" s="34" t="str">
        <x:v>臺灣！我來了</x:v>
      </x:c>
      <x:c r="E12" s="34" t="str">
        <x:v>5A-U1-O3</x:v>
      </x:c>
      <x:c r="F12" s="34" t="n">
        <x:v>8</x:v>
      </x:c>
      <x:c r="G12" s="34" t="str">
        <x:v>證據判讀</x:v>
      </x:c>
      <x:c r="H12" s="34" t="str">
        <x:v>哪項資料最能支持「板塊交界造成多山與地震」？</x:v>
      </x:c>
      <x:c r="I12" s="34" t="str">
        <x:v>和題目直接有關的資料</x:v>
      </x:c>
      <x:c r="J12" s="34" t="str">
        <x:v>訪談多方並搭配噪音與發電資料</x:v>
      </x:c>
      <x:c r="K12" s="34" t="str">
        <x:v>比較對象、程度、證據與改善方法</x:v>
      </x:c>
      <x:c r="L12" s="34" t="str">
        <x:v>用共同目標與相同標準調整方案</x:v>
      </x:c>
      <x:c r="M12" s="34" t="str">
        <x:v>A</x:v>
      </x:c>
      <x:c r="N12" s="34" t="str">
        <x:v>和題目直接有關的資料</x:v>
      </x:c>
      <x:c r="O12" s="34" t="str">
        <x:v>找能一次解釋兩個現象的地質條件。</x:v>
      </x:c>
      <x:c r="P12" s="34" t="str">
        <x:v>這題檢查的是證據能否直接支持「臺灣位於歐亞板塊與菲律賓海板塊交界附近」，不是文字長短或票數。板塊互相作用能同時解釋造山和地震；緯線、人口與潮汐無法建立這組因果。</x:v>
      </x:c>
      <x:c r="Q12" s="34" t="str">
        <x:v>答對了；「和題目直接有關的資料」同時保留了板塊與地形需要的範圍與限制。</x:v>
      </x:c>
      <x:c r="R12" s="34" t="str">
        <x:v>「訪談多方並搭配噪音與發電資料」是「多元觀點」的重點，但不能回答本題的「板塊與地形」。請回看：找能一次解釋兩個現象的地質條件。</x:v>
      </x:c>
      <x:c r="S12" s="34" t="str">
        <x:v>「比較對象、程度、證據與改善方法」是「分析權衡」的重點，但不能回答本題的「板塊與地形」。請回看：找能一次解釋兩個現象的地質條件。</x:v>
      </x:c>
      <x:c r="T12" s="34" t="str">
        <x:v>「用共同目標與相同標準調整方案」是「共識與程序」的重點，但不能回答本題的「板塊與地形」。請回看：找能一次解釋兩個現象的地質條件。</x:v>
      </x:c>
      <x:c r="U12" s="34" t="str">
        <x:v>判斷正確</x:v>
      </x:c>
      <x:c r="V12" s="34" t="str">
        <x:v>證據不足</x:v>
      </x:c>
      <x:c r="W12" s="34" t="str">
        <x:v>忽略利害關係人</x:v>
      </x:c>
      <x:c r="X12" s="34" t="str">
        <x:v>把意見當證據</x:v>
      </x:c>
      <x:c r="Y12" s="34" t="str">
        <x:v>找能一次解釋兩個現象的地質條件。</x:v>
      </x:c>
      <x:c r="Z12" s="34" t="str">
        <x:v>通商壓力、物產與航路共同促成開港</x:v>
      </x:c>
      <x:c r="AA12" s="34" t="str">
        <x:v>分族查資料，再比較文化異同</x:v>
      </x:c>
      <x:c r="AB12" s="34" t="str">
        <x:v>A</x:v>
      </x:c>
      <x:c r="AC12" s="34" t="str">
        <x:v>這是判斷「板塊與地形」時要使用的依據。板塊互相作用能同時解釋造山和地震；緯線、人口與潮汐無法建立這組因果。</x:v>
      </x:c>
      <x:c r="AD12" s="34" t="str">
        <x:v>這是「開港背景」的重點；本題要判斷的是「板塊與地形」，兩者不能互相代替。</x:v>
      </x:c>
      <x:c r="AE12" s="34" t="str">
        <x:v>這項知識屬於「文化多樣性」，無法支持本題的「板塊與地形」判斷。</x:v>
      </x:c>
      <x:c r="AF12" s="34" t="str">
        <x:v>遇到地震新聞時，用板塊位置解釋風險。</x:v>
      </x:c>
    </x:row>
    <x:row r="13" ht="76" customHeight="1">
      <x:c r="A13" s="34" t="str">
        <x:v>5A-U1</x:v>
      </x:c>
      <x:c r="B13" s="34" t="str">
        <x:v>五上</x:v>
      </x:c>
      <x:c r="C13" s="34" t="n">
        <x:v>1</x:v>
      </x:c>
      <x:c r="D13" s="34" t="str">
        <x:v>臺灣！我來了</x:v>
      </x:c>
      <x:c r="E13" s="34" t="str">
        <x:v>5A-U1-O3</x:v>
      </x:c>
      <x:c r="F13" s="34" t="n">
        <x:v>9</x:v>
      </x:c>
      <x:c r="G13" s="34" t="str">
        <x:v>迷思修正</x:v>
      </x:c>
      <x:c r="H13" s="34" t="str">
        <x:v>有人說：「北回歸線讓岩石不停震動」哪個答案能改正這個說法？</x:v>
      </x:c>
      <x:c r="I13" s="34" t="str">
        <x:v>板塊交界造成多山與地震</x:v>
      </x:c>
      <x:c r="J13" s="34" t="str">
        <x:v>查紀錄、調方法，再用同指標測量</x:v>
      </x:c>
      <x:c r="K13" s="34" t="str">
        <x:v>季風影響航程與風險，但不保證安全</x:v>
      </x:c>
      <x:c r="L13" s="34" t="str">
        <x:v>合作修水圳，訂分水與維修規則</x:v>
      </x:c>
      <x:c r="M13" s="34" t="str">
        <x:v>A</x:v>
      </x:c>
      <x:c r="N13" s="34" t="str">
        <x:v>板塊交界造成多山與地震</x:v>
      </x:c>
      <x:c r="O13" s="34" t="str">
        <x:v>找能一次解釋兩個現象的地質條件。</x:v>
      </x:c>
      <x:c r="P13" s="34" t="str">
        <x:v>迷思「北回歸線讓岩石不停震動」的問題，是它沒有處理「臺灣多山，且地震發生頻繁」提供的關鍵條件。板塊互相作用能同時解釋造山和地震；緯線、人口與潮汐無法建立這組因果。</x:v>
      </x:c>
      <x:c r="Q13" s="34" t="str">
        <x:v>你的判讀可被查證：板塊交界造成多山與地震。這正是板塊與地形要比較的核心。</x:v>
      </x:c>
      <x:c r="R13" s="34" t="str">
        <x:v>「查紀錄、調方法，再用同指標測量」是「行動省思」的重點，但不能回答本題的「板塊與地形」。請回看：找能一次解釋兩個現象的地質條件。</x:v>
      </x:c>
      <x:c r="S13" s="34" t="str">
        <x:v>「季風影響航程與風險，但不保證安全」是「移民與季風」的重點，但不能回答本題的「板塊與地形」。請回看：找能一次解釋兩個現象的地質條件。</x:v>
      </x:c>
      <x:c r="T13" s="34" t="str">
        <x:v>「合作修水圳，訂分水與維修規則」是「水利開墾」的重點，但不能回答本題的「板塊與地形」。請回看：找能一次解釋兩個現象的地質條件。</x:v>
      </x:c>
      <x:c r="U13" s="34" t="str">
        <x:v>判斷正確</x:v>
      </x:c>
      <x:c r="V13" s="34" t="str">
        <x:v>忽略利害關係人</x:v>
      </x:c>
      <x:c r="W13" s="34" t="str">
        <x:v>把意見當證據</x:v>
      </x:c>
      <x:c r="X13" s="34" t="str">
        <x:v>位置錯置</x:v>
      </x:c>
      <x:c r="Y13" s="34" t="str">
        <x:v>找能一次解釋兩個現象的地質條件。</x:v>
      </x:c>
      <x:c r="Z13" s="34" t="str">
        <x:v>設計耐用可修產品並回收再製</x:v>
      </x:c>
      <x:c r="AA13" s="34" t="str">
        <x:v>臺灣鄰近航路，利於貿易競爭</x:v>
      </x:c>
      <x:c r="AB13" s="34" t="str">
        <x:v>A</x:v>
      </x:c>
      <x:c r="AC13" s="34" t="str">
        <x:v>這是判斷「板塊與地形」時要使用的依據。板塊互相作用能同時解釋造山和地震；緯線、人口與潮汐無法建立這組因果。</x:v>
      </x:c>
      <x:c r="AD13" s="34" t="str">
        <x:v>這是「循環經濟」的重點；本題要判斷的是「板塊與地形」，兩者不能互相代替。</x:v>
      </x:c>
      <x:c r="AE13" s="34" t="str">
        <x:v>這項知識屬於「航海動機」，無法支持本題的「板塊與地形」判斷。</x:v>
      </x:c>
      <x:c r="AF13" s="34" t="str">
        <x:v>遇到地震新聞時，用板塊位置解釋風險。</x:v>
      </x:c>
    </x:row>
    <x:row r="14" ht="76" customHeight="1">
      <x:c r="A14" s="34" t="str">
        <x:v>5A-U1</x:v>
      </x:c>
      <x:c r="B14" s="34" t="str">
        <x:v>五上</x:v>
      </x:c>
      <x:c r="C14" s="34" t="n">
        <x:v>1</x:v>
      </x:c>
      <x:c r="D14" s="34" t="str">
        <x:v>臺灣！我來了</x:v>
      </x:c>
      <x:c r="E14" s="34" t="str">
        <x:v>5A-U1-O4</x:v>
      </x:c>
      <x:c r="F14" s="34" t="n">
        <x:v>10</x:v>
      </x:c>
      <x:c r="G14" s="34" t="str">
        <x:v>情境判斷</x:v>
      </x:c>
      <x:c r="H14" s="34" t="str">
        <x:v>一段海岸港灣曲折，另一段沙岸平直且泥沙堆積。哪個答案最合理？</x:v>
      </x:c>
      <x:c r="I14" s="34" t="str">
        <x:v>比較地形、風浪、泥沙與停靠條件</x:v>
      </x:c>
      <x:c r="J14" s="34" t="str">
        <x:v>只比較居民人數就決定</x:v>
      </x:c>
      <x:c r="K14" s="34" t="str">
        <x:v>只選照片顏色較漂亮的一處</x:v>
      </x:c>
      <x:c r="L14" s="34" t="str">
        <x:v>比較具體貢獻、限制與在地回應</x:v>
      </x:c>
      <x:c r="M14" s="34" t="str">
        <x:v>A</x:v>
      </x:c>
      <x:c r="N14" s="34" t="str">
        <x:v>比較地形、風浪、泥沙與停靠條件</x:v>
      </x:c>
      <x:c r="O14" s="34" t="str">
        <x:v>把船舶需要的條件和海岸特性對照。</x:v>
      </x:c>
      <x:c r="P14" s="34" t="str">
        <x:v>海岸利用受形狀、風浪與泥沙共同影響，人口或美感不能代替環境證據。</x:v>
      </x:c>
      <x:c r="Q14" s="34" t="str">
        <x:v>答對了；「比較地形、風浪、泥沙與停靠條件」同時保留了海岸變遷需要的範圍與限制。</x:v>
      </x:c>
      <x:c r="R14" s="34" t="str">
        <x:v>這項判斷忽略重要限制。請想想：把船舶需要的條件和海岸特性對照。</x:v>
      </x:c>
      <x:c r="S14" s="34" t="str">
        <x:v>焦點放錯了。請回看：把船舶需要的條件和海岸特性對照。</x:v>
      </x:c>
      <x:c r="T14" s="34" t="str">
        <x:v>「比較具體貢獻、限制與在地回應」是「人物與交流」的重點，但不能回答本題的「海岸變遷」。請回看：把船舶需要的條件和海岸特性對照。</x:v>
      </x:c>
      <x:c r="U14" s="34" t="str">
        <x:v>判斷正確</x:v>
      </x:c>
      <x:c r="V14" s="34" t="str">
        <x:v>證據不足</x:v>
      </x:c>
      <x:c r="W14" s="34" t="str">
        <x:v>忽略利害關係人</x:v>
      </x:c>
      <x:c r="X14" s="34" t="str">
        <x:v>把意見當證據</x:v>
      </x:c>
      <x:c r="Y14" s="34" t="str">
        <x:v>把船舶需要的條件和海岸特性對照。</x:v>
      </x:c>
      <x:c r="Z14" s="34" t="str">
        <x:v>合作修水圳，訂分水與維修規則</x:v>
      </x:c>
      <x:c r="AA14" s="34" t="str">
        <x:v>設計耐用可修產品並回收再製</x:v>
      </x:c>
      <x:c r="AB14" s="34" t="str">
        <x:v>A</x:v>
      </x:c>
      <x:c r="AC14" s="34" t="str">
        <x:v>這是判斷「海岸變遷」時要使用的依據。海岸利用受形狀、風浪與泥沙共同影響，人口或美感不能代替環境證據。</x:v>
      </x:c>
      <x:c r="AD14" s="34" t="str">
        <x:v>這是「水利開墾」的重點；本題要判斷的是「海岸變遷」，兩者不能互相代替。</x:v>
      </x:c>
      <x:c r="AE14" s="34" t="str">
        <x:v>這項知識屬於「循環經濟」，無法支持本題的「海岸變遷」判斷。</x:v>
      </x:c>
      <x:c r="AF14" s="34" t="str">
        <x:v>開發海岸前，同時評估港口、養殖與保育需求。</x:v>
      </x:c>
    </x:row>
    <x:row r="15" ht="76" customHeight="1">
      <x:c r="A15" s="34" t="str">
        <x:v>5A-U1</x:v>
      </x:c>
      <x:c r="B15" s="34" t="str">
        <x:v>五上</x:v>
      </x:c>
      <x:c r="C15" s="34" t="n">
        <x:v>1</x:v>
      </x:c>
      <x:c r="D15" s="34" t="str">
        <x:v>臺灣！我來了</x:v>
      </x:c>
      <x:c r="E15" s="34" t="str">
        <x:v>5A-U1-O4</x:v>
      </x:c>
      <x:c r="F15" s="34" t="n">
        <x:v>11</x:v>
      </x:c>
      <x:c r="G15" s="34" t="str">
        <x:v>證據判讀</x:v>
      </x:c>
      <x:c r="H15" s="34" t="str">
        <x:v>哪項資料最能支持「比較地形、風浪、泥沙與停靠條件」？</x:v>
      </x:c>
      <x:c r="I15" s="34" t="str">
        <x:v>和題目直接有關的資料</x:v>
      </x:c>
      <x:c r="J15" s="34" t="str">
        <x:v>保留植被並依坡度調整耕作</x:v>
      </x:c>
      <x:c r="K15" s="34" t="str">
        <x:v>比較供應、動物、傳染病與廢水管理</x:v>
      </x:c>
      <x:c r="L15" s="34" t="str">
        <x:v>設禁漁期、尺寸限制並協助轉型</x:v>
      </x:c>
      <x:c r="M15" s="34" t="str">
        <x:v>A</x:v>
      </x:c>
      <x:c r="N15" s="34" t="str">
        <x:v>和題目直接有關的資料</x:v>
      </x:c>
      <x:c r="O15" s="34" t="str">
        <x:v>把船舶需要的條件和海岸特性對照。</x:v>
      </x:c>
      <x:c r="P15" s="34" t="str">
        <x:v>這題檢查的是證據能否直接支持「比較地形、風浪、泥沙與船舶停靠條件」，不是文字長短或票數。海岸利用受形狀、風浪與泥沙共同影響，人口或美感不能代替環境證據。</x:v>
      </x:c>
      <x:c r="Q15" s="34" t="str">
        <x:v>你的判讀可被查證：和題目直接有關的資料。這正是海岸變遷要比較的核心。</x:v>
      </x:c>
      <x:c r="R15" s="34" t="str">
        <x:v>「保留植被並依坡度調整耕作」是「永續農業」的重點，但不能回答本題的「海岸變遷」。請回看：把船舶需要的條件和海岸特性對照。</x:v>
      </x:c>
      <x:c r="S15" s="34" t="str">
        <x:v>「比較供應、動物、傳染病與廢水管理」是「畜牧權衡」的重點，但不能回答本題的「海岸變遷」。請回看：把船舶需要的條件和海岸特性對照。</x:v>
      </x:c>
      <x:c r="T15" s="34" t="str">
        <x:v>「設禁漁期、尺寸限制並協助轉型」是「永續漁業」的重點，但不能回答本題的「海岸變遷」。請回看：把船舶需要的條件和海岸特性對照。</x:v>
      </x:c>
      <x:c r="U15" s="34" t="str">
        <x:v>判斷正確</x:v>
      </x:c>
      <x:c r="V15" s="34" t="str">
        <x:v>忽略利害關係人</x:v>
      </x:c>
      <x:c r="W15" s="34" t="str">
        <x:v>把意見當證據</x:v>
      </x:c>
      <x:c r="X15" s="34" t="str">
        <x:v>位置錯置</x:v>
      </x:c>
      <x:c r="Y15" s="34" t="str">
        <x:v>把船舶需要的條件和海岸特性對照。</x:v>
      </x:c>
      <x:c r="Z15" s="34" t="str">
        <x:v>停止交易並改用官方查證與付款</x:v>
      </x:c>
      <x:c r="AA15" s="34" t="str">
        <x:v>泥沙堆積使船難進出，港口轉移</x:v>
      </x:c>
      <x:c r="AB15" s="34" t="str">
        <x:v>A</x:v>
      </x:c>
      <x:c r="AC15" s="34" t="str">
        <x:v>這是判斷「海岸變遷」時要使用的依據。海岸利用受形狀、風浪與泥沙共同影響，人口或美感不能代替環境證據。</x:v>
      </x:c>
      <x:c r="AD15" s="34" t="str">
        <x:v>這是「消費安全」的重點；本題要判斷的是「海岸變遷」，兩者不能互相代替。</x:v>
      </x:c>
      <x:c r="AE15" s="34" t="str">
        <x:v>這項知識屬於「潟湖與港口」，無法支持本題的「海岸變遷」判斷。</x:v>
      </x:c>
      <x:c r="AF15" s="34" t="str">
        <x:v>開發海岸前，同時評估港口、養殖與保育需求。</x:v>
      </x:c>
    </x:row>
    <x:row r="16" ht="76" customHeight="1">
      <x:c r="A16" s="34" t="str">
        <x:v>5A-U1</x:v>
      </x:c>
      <x:c r="B16" s="34" t="str">
        <x:v>五上</x:v>
      </x:c>
      <x:c r="C16" s="34" t="n">
        <x:v>1</x:v>
      </x:c>
      <x:c r="D16" s="34" t="str">
        <x:v>臺灣！我來了</x:v>
      </x:c>
      <x:c r="E16" s="34" t="str">
        <x:v>5A-U1-O4</x:v>
      </x:c>
      <x:c r="F16" s="34" t="n">
        <x:v>12</x:v>
      </x:c>
      <x:c r="G16" s="34" t="str">
        <x:v>迷思修正</x:v>
      </x:c>
      <x:c r="H16" s="34" t="str">
        <x:v>有人說：「只比較居民人數就決定」哪個答案能改正這個說法？</x:v>
      </x:c>
      <x:c r="I16" s="34" t="str">
        <x:v>比較地形、風浪、泥沙與停靠條件</x:v>
      </x:c>
      <x:c r="J16" s="34" t="str">
        <x:v>外力暴露治理不足，促使政策改變</x:v>
      </x:c>
      <x:c r="K16" s="34" t="str">
        <x:v>海防受重視，建省與建設強化治理</x:v>
      </x:c>
      <x:c r="L16" s="34" t="str">
        <x:v>電力帶來便利，也增加供電依賴</x:v>
      </x:c>
      <x:c r="M16" s="34" t="str">
        <x:v>A</x:v>
      </x:c>
      <x:c r="N16" s="34" t="str">
        <x:v>比較地形、風浪、泥沙與停靠條件</x:v>
      </x:c>
      <x:c r="O16" s="34" t="str">
        <x:v>把船舶需要的條件和海岸特性對照。</x:v>
      </x:c>
      <x:c r="P16" s="34" t="str">
        <x:v>迷思「只比較居民人數就決定」的問題，是它沒有處理「一段海岸港灣曲折，另一段沙岸平直且泥沙堆積」提供的關鍵條件。海岸利用受形狀、風浪與泥沙共同影響，人口或美感不能代替環境證據。</x:v>
      </x:c>
      <x:c r="Q16" s="34" t="str">
        <x:v>判斷精準。「比較地形、風浪、泥沙與停靠條件」直接回應海岸變遷，推論沒有超過資料。</x:v>
      </x:c>
      <x:c r="R16" s="34" t="str">
        <x:v>「外力暴露治理不足，促使政策改變」是「牡丹社事件」的重點，但不能回答本題的「海岸變遷」。請回看：把船舶需要的條件和海岸特性對照。</x:v>
      </x:c>
      <x:c r="S16" s="34" t="str">
        <x:v>「海防受重視，建省與建設強化治理」是「清法戰爭與建省」的重點，但不能回答本題的「海岸變遷」。請回看：把船舶需要的條件和海岸特性對照。</x:v>
      </x:c>
      <x:c r="T16" s="34" t="str">
        <x:v>「電力帶來便利，也增加供電依賴」是「電力與生活」的重點，但不能回答本題的「海岸變遷」。請回看：把船舶需要的條件和海岸特性對照。</x:v>
      </x:c>
      <x:c r="U16" s="34" t="str">
        <x:v>判斷正確</x:v>
      </x:c>
      <x:c r="V16" s="34" t="str">
        <x:v>把意見當證據</x:v>
      </x:c>
      <x:c r="W16" s="34" t="str">
        <x:v>位置錯置</x:v>
      </x:c>
      <x:c r="X16" s="34" t="str">
        <x:v>忽略時空脈絡</x:v>
      </x:c>
      <x:c r="Y16" s="34" t="str">
        <x:v>把船舶需要的條件和海岸特性對照。</x:v>
      </x:c>
      <x:c r="Z16" s="34" t="str">
        <x:v>環境、季節與歷史共同影響生活</x:v>
      </x:c>
      <x:c r="AA16" s="34" t="str">
        <x:v>限定結論範圍並說明調查限制</x:v>
      </x:c>
      <x:c r="AB16" s="34" t="str">
        <x:v>A</x:v>
      </x:c>
      <x:c r="AC16" s="34" t="str">
        <x:v>這是判斷「海岸變遷」時要使用的依據。海岸利用受形狀、風浪與泥沙共同影響，人口或美感不能代替環境證據。</x:v>
      </x:c>
      <x:c r="AD16" s="34" t="str">
        <x:v>這是「環境與生活」的重點；本題要判斷的是「海岸變遷」，兩者不能互相代替。</x:v>
      </x:c>
      <x:c r="AE16" s="34" t="str">
        <x:v>這項知識屬於「結論界線」，無法支持本題的「海岸變遷」判斷。</x:v>
      </x:c>
      <x:c r="AF16" s="34" t="str">
        <x:v>開發海岸前，同時評估港口、養殖與保育需求。</x:v>
      </x:c>
    </x:row>
    <x:row r="17" ht="76" customHeight="1">
      <x:c r="A17" s="34" t="str">
        <x:v>5A-U1</x:v>
      </x:c>
      <x:c r="B17" s="34" t="str">
        <x:v>五上</x:v>
      </x:c>
      <x:c r="C17" s="34" t="n">
        <x:v>1</x:v>
      </x:c>
      <x:c r="D17" s="34" t="str">
        <x:v>臺灣！我來了</x:v>
      </x:c>
      <x:c r="E17" s="34" t="str">
        <x:v>5A-U1-O5</x:v>
      </x:c>
      <x:c r="F17" s="34" t="n">
        <x:v>13</x:v>
      </x:c>
      <x:c r="G17" s="34" t="str">
        <x:v>情境判斷</x:v>
      </x:c>
      <x:c r="H17" s="34" t="str">
        <x:v>同一文化層出土磨製石器、陶器與炭化稻米。哪個答案最合理？</x:v>
      </x:c>
      <x:c r="I17" s="34" t="str">
        <x:v>遺物顯示可能已有農耕定居生活</x:v>
      </x:c>
      <x:c r="J17" s="34" t="str">
        <x:v>當時一定用文字記錄每天收成</x:v>
      </x:c>
      <x:c r="K17" s="34" t="str">
        <x:v>居民只吃稻米，從不採集狩獵</x:v>
      </x:c>
      <x:c r="L17" s="34" t="str">
        <x:v>保存證據，再循正式管道申訴</x:v>
      </x:c>
      <x:c r="M17" s="34" t="str">
        <x:v>A</x:v>
      </x:c>
      <x:c r="N17" s="34" t="str">
        <x:v>遺物顯示可能已有農耕定居生活</x:v>
      </x:c>
      <x:c r="O17" s="34" t="str">
        <x:v>把三種遺物放在一起推論，不要過度肯定。</x:v>
      </x:c>
      <x:c r="P17" s="34" t="str">
        <x:v>工具、容器與作物遺留可共同支持農耕和定居的可能，但不能推到文字、單一飲食或精確日期。</x:v>
      </x:c>
      <x:c r="Q17" s="34" t="str">
        <x:v>你的判讀可被查證：遺物顯示可能已有農耕定居生活。這正是史前證據要比較的核心。</x:v>
      </x:c>
      <x:c r="R17" s="34" t="str">
        <x:v>焦點放錯了。請回看：把三種遺物放在一起推論，不要過度肯定。</x:v>
      </x:c>
      <x:c r="S17" s="34" t="str">
        <x:v>這項推論缺少證據。請確認：把三種遺物放在一起推論，不要過度肯定。</x:v>
      </x:c>
      <x:c r="T17" s="34" t="str">
        <x:v>「保存證據，再循正式管道申訴」是「消費權益」的重點，但不能回答本題的「史前證據」。請回看：把三種遺物放在一起推論，不要過度肯定。</x:v>
      </x:c>
      <x:c r="U17" s="34" t="str">
        <x:v>判斷正確</x:v>
      </x:c>
      <x:c r="V17" s="34" t="str">
        <x:v>忽略利害關係人</x:v>
      </x:c>
      <x:c r="W17" s="34" t="str">
        <x:v>把意見當證據</x:v>
      </x:c>
      <x:c r="X17" s="34" t="str">
        <x:v>位置錯置</x:v>
      </x:c>
      <x:c r="Y17" s="34" t="str">
        <x:v>把三種遺物放在一起判斷，不要過度肯定。</x:v>
      </x:c>
      <x:c r="Z17" s="34" t="str">
        <x:v>外力暴露治理不足，促使政策改變</x:v>
      </x:c>
      <x:c r="AA17" s="34" t="str">
        <x:v>環境、季節與歷史共同影響生活</x:v>
      </x:c>
      <x:c r="AB17" s="34" t="str">
        <x:v>A</x:v>
      </x:c>
      <x:c r="AC17" s="34" t="str">
        <x:v>這是判斷「史前證據」時要使用的依據。工具、容器與作物遺留可共同支持農耕和定居的可能，但不能推到文字、單一飲食或精確日期。</x:v>
      </x:c>
      <x:c r="AD17" s="34" t="str">
        <x:v>這是「牡丹社事件」的重點；本題要判斷的是「史前證據」，兩者不能互相代替。</x:v>
      </x:c>
      <x:c r="AE17" s="34" t="str">
        <x:v>這項知識屬於「環境與生活」，無法支持本題的「史前證據」判斷。</x:v>
      </x:c>
      <x:c r="AF17" s="34" t="str">
        <x:v>參觀遺址時，區分證據支持的可能與猜測。</x:v>
      </x:c>
    </x:row>
    <x:row r="18" ht="76" customHeight="1">
      <x:c r="A18" s="34" t="str">
        <x:v>5A-U1</x:v>
      </x:c>
      <x:c r="B18" s="34" t="str">
        <x:v>五上</x:v>
      </x:c>
      <x:c r="C18" s="34" t="n">
        <x:v>1</x:v>
      </x:c>
      <x:c r="D18" s="34" t="str">
        <x:v>臺灣！我來了</x:v>
      </x:c>
      <x:c r="E18" s="34" t="str">
        <x:v>5A-U1-O5</x:v>
      </x:c>
      <x:c r="F18" s="34" t="n">
        <x:v>14</x:v>
      </x:c>
      <x:c r="G18" s="34" t="str">
        <x:v>證據判讀</x:v>
      </x:c>
      <x:c r="H18" s="34" t="str">
        <x:v>哪項資料最能支持「遺物顯示可能已有農耕定居生活」？</x:v>
      </x:c>
      <x:c r="I18" s="34" t="str">
        <x:v>和題目直接有關的資料</x:v>
      </x:c>
      <x:c r="J18" s="34" t="str">
        <x:v>貿易增加，也改變土地與族群關係</x:v>
      </x:c>
      <x:c r="K18" s="34" t="str">
        <x:v>聚焦特定海岸、時間與不同觀點</x:v>
      </x:c>
      <x:c r="L18" s="34" t="str">
        <x:v>結合檔案、觀察與多方訪談</x:v>
      </x:c>
      <x:c r="M18" s="34" t="str">
        <x:v>A</x:v>
      </x:c>
      <x:c r="N18" s="34" t="str">
        <x:v>和題目直接有關的資料</x:v>
      </x:c>
      <x:c r="O18" s="34" t="str">
        <x:v>把三種遺物放在一起推論，不要過度肯定。</x:v>
      </x:c>
      <x:c r="P18" s="34" t="str">
        <x:v>這題檢查的是證據能否直接支持「當時人們可能已有較穩定的農耕與定居生活」，不是文字長短或票數。工具、容器與作物遺留可共同支持農耕和定居的可能，但不能推到文字、單一飲食或精確日期。</x:v>
      </x:c>
      <x:c r="Q18" s="34" t="str">
        <x:v>判斷精準。「和題目直接有關的資料」直接回應史前證據，推論沒有超過資料。</x:v>
      </x:c>
      <x:c r="R18" s="34" t="str">
        <x:v>「貿易增加，也改變土地與族群關係」是「貿易影響」的重點，但不能回答本題的「史前證據」。請回看：把三種遺物放在一起推論，不要過度肯定。</x:v>
      </x:c>
      <x:c r="S18" s="34" t="str">
        <x:v>「聚焦特定海岸、時間與不同觀點」是「問題形成」的重點，但不能回答本題的「史前證據」。請回看：把三種遺物放在一起推論，不要過度肯定。</x:v>
      </x:c>
      <x:c r="T18" s="34" t="str">
        <x:v>「結合檔案、觀察與多方訪談」是「多元資料」的重點，但不能回答本題的「史前證據」。請回看：把三種遺物放在一起推論，不要過度肯定。</x:v>
      </x:c>
      <x:c r="U18" s="34" t="str">
        <x:v>判斷正確</x:v>
      </x:c>
      <x:c r="V18" s="34" t="str">
        <x:v>把意見當證據</x:v>
      </x:c>
      <x:c r="W18" s="34" t="str">
        <x:v>位置錯置</x:v>
      </x:c>
      <x:c r="X18" s="34" t="str">
        <x:v>忽略時空脈絡</x:v>
      </x:c>
      <x:c r="Y18" s="34" t="str">
        <x:v>把三種遺物放在一起判斷，不要過度肯定。</x:v>
      </x:c>
      <x:c r="Z18" s="34" t="str">
        <x:v>比較對象、程度、證據與改善方法</x:v>
      </x:c>
      <x:c r="AA18" s="34" t="str">
        <x:v>核對單位、時間、尺度與原始數值</x:v>
      </x:c>
      <x:c r="AB18" s="34" t="str">
        <x:v>A</x:v>
      </x:c>
      <x:c r="AC18" s="34" t="str">
        <x:v>這是判斷「史前證據」時要使用的依據。工具、容器與作物遺留可共同支持農耕和定居的可能，但不能推到文字、單一飲食或精確日期。</x:v>
      </x:c>
      <x:c r="AD18" s="34" t="str">
        <x:v>這是「分析權衡」的重點；本題要判斷的是「史前證據」，兩者不能互相代替。</x:v>
      </x:c>
      <x:c r="AE18" s="34" t="str">
        <x:v>這項知識屬於「圖表判讀」，無法支持本題的「史前證據」判斷。</x:v>
      </x:c>
      <x:c r="AF18" s="34" t="str">
        <x:v>參觀遺址時，區分證據支持的可能與猜測。</x:v>
      </x:c>
    </x:row>
    <x:row r="19" ht="76" customHeight="1">
      <x:c r="A19" s="34" t="str">
        <x:v>5A-U1</x:v>
      </x:c>
      <x:c r="B19" s="34" t="str">
        <x:v>五上</x:v>
      </x:c>
      <x:c r="C19" s="34" t="n">
        <x:v>1</x:v>
      </x:c>
      <x:c r="D19" s="34" t="str">
        <x:v>臺灣！我來了</x:v>
      </x:c>
      <x:c r="E19" s="34" t="str">
        <x:v>5A-U1-O5</x:v>
      </x:c>
      <x:c r="F19" s="34" t="n">
        <x:v>15</x:v>
      </x:c>
      <x:c r="G19" s="34" t="str">
        <x:v>迷思修正</x:v>
      </x:c>
      <x:c r="H19" s="34" t="str">
        <x:v>有人說：「當時一定用文字記錄每天收成」哪個答案能改正這個說法？</x:v>
      </x:c>
      <x:c r="I19" s="34" t="str">
        <x:v>遺物顯示可能已有農耕定居生活</x:v>
      </x:c>
      <x:c r="J19" s="34" t="str">
        <x:v>查合法性，不投入無法承受的資金</x:v>
      </x:c>
      <x:c r="K19" s="34" t="str">
        <x:v>訂規則、維修配置與歸還責任</x:v>
      </x:c>
      <x:c r="L19" s="34" t="str">
        <x:v>設計耐用可修產品並回收再製</x:v>
      </x:c>
      <x:c r="M19" s="34" t="str">
        <x:v>A</x:v>
      </x:c>
      <x:c r="N19" s="34" t="str">
        <x:v>遺物顯示可能已有農耕定居生活</x:v>
      </x:c>
      <x:c r="O19" s="34" t="str">
        <x:v>把三種遺物放在一起推論，不要過度肯定。</x:v>
      </x:c>
      <x:c r="P19" s="34" t="str">
        <x:v>迷思「當時一定用文字記錄每天收成」的問題，是它沒有處理「同一文化層出土磨製石器、陶器與炭化稻米」提供的關鍵條件。工具、容器與作物遺留可共同支持農耕和定居的可能，但不能推到文字、單一飲食或精確日期。</x:v>
      </x:c>
      <x:c r="Q19" s="34" t="str">
        <x:v>這項選擇成立：遺物顯示可能已有農耕定居生活。它抓住史前證據的關鍵條件。</x:v>
      </x:c>
      <x:c r="R19" s="34" t="str">
        <x:v>「查合法性，不投入無法承受的資金」是「理財風險」的重點，但不能回答本題的「史前證據」。請回看：把三種遺物放在一起推論，不要過度肯定。</x:v>
      </x:c>
      <x:c r="S19" s="34" t="str">
        <x:v>「訂規則、維修配置與歸還責任」是「共享資源」的重點，但不能回答本題的「史前證據」。請回看：把三種遺物放在一起推論，不要過度肯定。</x:v>
      </x:c>
      <x:c r="T19" s="34" t="str">
        <x:v>「設計耐用可修產品並回收再製」是「循環經濟」的重點，但不能回答本題的「史前證據」。請回看：把三種遺物放在一起推論，不要過度肯定。</x:v>
      </x:c>
      <x:c r="U19" s="34" t="str">
        <x:v>判斷正確</x:v>
      </x:c>
      <x:c r="V19" s="34" t="str">
        <x:v>位置錯置</x:v>
      </x:c>
      <x:c r="W19" s="34" t="str">
        <x:v>忽略時空脈絡</x:v>
      </x:c>
      <x:c r="X19" s="34" t="str">
        <x:v>過度概括</x:v>
      </x:c>
      <x:c r="Y19" s="34" t="str">
        <x:v>把三種遺物放在一起判斷，不要過度肯定。</x:v>
      </x:c>
      <x:c r="Z19" s="34" t="str">
        <x:v>查明進口木材是否來自永續來源</x:v>
      </x:c>
      <x:c r="AA19" s="34" t="str">
        <x:v>通商壓力、物產與航路共同促成開港</x:v>
      </x:c>
      <x:c r="AB19" s="34" t="str">
        <x:v>A</x:v>
      </x:c>
      <x:c r="AC19" s="34" t="str">
        <x:v>這是判斷「史前證據」時要使用的依據。工具、容器與作物遺留可共同支持農耕和定居的可能，但不能推到文字、單一飲食或精確日期。</x:v>
      </x:c>
      <x:c r="AD19" s="34" t="str">
        <x:v>這是「森林供應鏈」的重點；本題要判斷的是「史前證據」，兩者不能互相代替。</x:v>
      </x:c>
      <x:c r="AE19" s="34" t="str">
        <x:v>這項知識屬於「開港背景」，無法支持本題的「史前證據」判斷。</x:v>
      </x:c>
      <x:c r="AF19" s="34" t="str">
        <x:v>參觀遺址時，區分證據支持的可能與猜測。</x:v>
      </x:c>
    </x:row>
    <x:row r="20" ht="76" customHeight="1">
      <x:c r="A20" s="35" t="str">
        <x:v>5A-U2</x:v>
      </x:c>
      <x:c r="B20" s="35" t="str">
        <x:v>五上</x:v>
      </x:c>
      <x:c r="C20" s="35" t="n">
        <x:v>2</x:v>
      </x:c>
      <x:c r="D20" s="35" t="str">
        <x:v>島嶼上的生活樣貌</x:v>
      </x:c>
      <x:c r="E20" s="35" t="str">
        <x:v>5A-U2-O1</x:v>
      </x:c>
      <x:c r="F20" s="35" t="n">
        <x:v>1</x:v>
      </x:c>
      <x:c r="G20" s="35" t="str">
        <x:v>情境判斷</x:v>
      </x:c>
      <x:c r="H20" s="35" t="str">
        <x:v>班級要介紹三個原住民族的生活文化。哪個答案最合理？</x:v>
      </x:c>
      <x:c r="I20" s="35" t="str">
        <x:v>分族查資料，再比較文化異同</x:v>
      </x:c>
      <x:c r="J20" s="35" t="str">
        <x:v>用一族服飾代表所有族群</x:v>
      </x:c>
      <x:c r="K20" s="35" t="str">
        <x:v>只整理觀光廣告的共同印象</x:v>
      </x:c>
      <x:c r="L20" s="35" t="str">
        <x:v>核對單位、時間、尺度與原始數值</x:v>
      </x:c>
      <x:c r="M20" s="35" t="str">
        <x:v>A</x:v>
      </x:c>
      <x:c r="N20" s="35" t="str">
        <x:v>分族查資料，再比較文化異同</x:v>
      </x:c>
      <x:c r="O20" s="35" t="str">
        <x:v>確認資料談的是哪一族、由誰陳述。</x:v>
      </x:c>
      <x:c r="P20" s="35" t="str">
        <x:v>文化和環境、歷史及自我認同有關，應讓各族群資料被清楚區分，避免刻板化。</x:v>
      </x:c>
      <x:c r="Q20" s="35" t="str">
        <x:v>判斷精準。「分族查資料，再比較文化異同」直接回應文化多樣性，推論沒有超過資料。</x:v>
      </x:c>
      <x:c r="R20" s="35" t="str">
        <x:v>這項推論缺少證據。請確認：確認資料談的是哪一族、由誰陳述。</x:v>
      </x:c>
      <x:c r="S20" s="35" t="str">
        <x:v>選項和題意關係較弱。提示：確認資料談的是哪一族、由誰陳述。</x:v>
      </x:c>
      <x:c r="T20" s="35" t="str">
        <x:v>「核對單位、時間、尺度與原始數值」是「圖表判讀」的重點，但不能回答本題的「文化多樣性」。請回看：確認資料談的是哪一族、由誰陳述。</x:v>
      </x:c>
      <x:c r="U20" s="35" t="str">
        <x:v>判斷正確</x:v>
      </x:c>
      <x:c r="V20" s="35" t="str">
        <x:v>忽略時空脈絡</x:v>
      </x:c>
      <x:c r="W20" s="35" t="str">
        <x:v>過度概括</x:v>
      </x:c>
      <x:c r="X20" s="35" t="str">
        <x:v>單因推論</x:v>
      </x:c>
      <x:c r="Y20" s="35" t="str">
        <x:v>確認資料談的是哪一族、由誰陳述。</x:v>
      </x:c>
      <x:c r="Z20" s="35" t="str">
        <x:v>比較雙方立場、目的與證據</x:v>
      </x:c>
      <x:c r="AA20" s="35" t="str">
        <x:v>依能源補充性與環境特性分類</x:v>
      </x:c>
      <x:c r="AB20" s="35" t="str">
        <x:v>A</x:v>
      </x:c>
      <x:c r="AC20" s="35" t="str">
        <x:v>這是判斷「文化多樣性」時要使用的依據。文化和環境、歷史及自我認同有關，應讓各族群資料被清楚區分，避免刻板化。</x:v>
      </x:c>
      <x:c r="AD20" s="35" t="str">
        <x:v>這是「多元觀點」的重點；本題要判斷的是「文化多樣性」，兩者不能互相代替。</x:v>
      </x:c>
      <x:c r="AE20" s="35" t="str">
        <x:v>這項知識屬於「能源分類」，無法支持本題的「文化多樣性」判斷。</x:v>
      </x:c>
      <x:c r="AF20" s="35" t="str">
        <x:v>文化海報要標族名與資料來源。</x:v>
      </x:c>
    </x:row>
    <x:row r="21" ht="76" customHeight="1">
      <x:c r="A21" s="35" t="str">
        <x:v>5A-U2</x:v>
      </x:c>
      <x:c r="B21" s="35" t="str">
        <x:v>五上</x:v>
      </x:c>
      <x:c r="C21" s="35" t="n">
        <x:v>2</x:v>
      </x:c>
      <x:c r="D21" s="35" t="str">
        <x:v>島嶼上的生活樣貌</x:v>
      </x:c>
      <x:c r="E21" s="35" t="str">
        <x:v>5A-U2-O1</x:v>
      </x:c>
      <x:c r="F21" s="35" t="n">
        <x:v>2</x:v>
      </x:c>
      <x:c r="G21" s="35" t="str">
        <x:v>證據判讀</x:v>
      </x:c>
      <x:c r="H21" s="35" t="str">
        <x:v>哪項資料最能支持「分族查資料，再比較文化異同」？</x:v>
      </x:c>
      <x:c r="I21" s="35" t="str">
        <x:v>和題目直接有關的資料</x:v>
      </x:c>
      <x:c r="J21" s="35" t="str">
        <x:v>比較設置前後的發電、用電與環境</x:v>
      </x:c>
      <x:c r="K21" s="35" t="str">
        <x:v>訪談多方並搭配噪音與發電資料</x:v>
      </x:c>
      <x:c r="L21" s="35" t="str">
        <x:v>比較對象、程度、證據與改善方法</x:v>
      </x:c>
      <x:c r="M21" s="35" t="str">
        <x:v>A</x:v>
      </x:c>
      <x:c r="N21" s="35" t="str">
        <x:v>和題目直接有關的資料</x:v>
      </x:c>
      <x:c r="O21" s="35" t="str">
        <x:v>確認資料談的是哪一族、由誰陳述。</x:v>
      </x:c>
      <x:c r="P21" s="35" t="str">
        <x:v>這題檢查的是證據能否直接支持「分別查所在地、歷史與族人自己的說法，再比較異同」，不是文字長短或票數。文化和環境、歷史及自我認同有關，應讓各族群資料被清楚區分，避免刻板化。</x:v>
      </x:c>
      <x:c r="Q21" s="35" t="str">
        <x:v>這項選擇成立：和題目直接有關的資料。它抓住文化多樣性的關鍵條件。</x:v>
      </x:c>
      <x:c r="R21" s="35" t="str">
        <x:v>「比較設置前後的發電、用電與環境」是「能源提問」的重點，但不能回答本題的「文化多樣性」。請回看：確認資料談的是哪一族、由誰陳述。</x:v>
      </x:c>
      <x:c r="S21" s="35" t="str">
        <x:v>「訪談多方並搭配噪音與發電資料」是「多元觀點」的重點，但不能回答本題的「文化多樣性」。請回看：確認資料談的是哪一族、由誰陳述。</x:v>
      </x:c>
      <x:c r="T21" s="35" t="str">
        <x:v>「比較對象、程度、證據與改善方法」是「分析權衡」的重點，但不能回答本題的「文化多樣性」。請回看：確認資料談的是哪一族、由誰陳述。</x:v>
      </x:c>
      <x:c r="U21" s="35" t="str">
        <x:v>判斷正確</x:v>
      </x:c>
      <x:c r="V21" s="35" t="str">
        <x:v>過度概括</x:v>
      </x:c>
      <x:c r="W21" s="35" t="str">
        <x:v>單因推論</x:v>
      </x:c>
      <x:c r="X21" s="35" t="str">
        <x:v>證據不足</x:v>
      </x:c>
      <x:c r="Y21" s="35" t="str">
        <x:v>確認資料談的是哪一族、由誰陳述。</x:v>
      </x:c>
      <x:c r="Z21" s="35" t="str">
        <x:v>港市帶動文化，但各族群影響不同</x:v>
      </x:c>
      <x:c r="AA21" s="35" t="str">
        <x:v>設基準與措施，四週後同指標比較</x:v>
      </x:c>
      <x:c r="AB21" s="35" t="str">
        <x:v>A</x:v>
      </x:c>
      <x:c r="AC21" s="35" t="str">
        <x:v>這是判斷「文化多樣性」時要使用的依據。文化和環境、歷史及自我認同有關，應讓各族群資料被清楚區分，避免刻板化。</x:v>
      </x:c>
      <x:c r="AD21" s="35" t="str">
        <x:v>這是「港市與文化」的重點；本題要判斷的是「文化多樣性」，兩者不能互相代替。</x:v>
      </x:c>
      <x:c r="AE21" s="35" t="str">
        <x:v>這項知識屬於「行動評估」，無法支持本題的「文化多樣性」判斷。</x:v>
      </x:c>
      <x:c r="AF21" s="35" t="str">
        <x:v>文化海報要標族名與資料來源。</x:v>
      </x:c>
    </x:row>
    <x:row r="22" ht="76" customHeight="1">
      <x:c r="A22" s="35" t="str">
        <x:v>5A-U2</x:v>
      </x:c>
      <x:c r="B22" s="35" t="str">
        <x:v>五上</x:v>
      </x:c>
      <x:c r="C22" s="35" t="n">
        <x:v>2</x:v>
      </x:c>
      <x:c r="D22" s="35" t="str">
        <x:v>島嶼上的生活樣貌</x:v>
      </x:c>
      <x:c r="E22" s="35" t="str">
        <x:v>5A-U2-O1</x:v>
      </x:c>
      <x:c r="F22" s="35" t="n">
        <x:v>3</x:v>
      </x:c>
      <x:c r="G22" s="35" t="str">
        <x:v>迷思修正</x:v>
      </x:c>
      <x:c r="H22" s="35" t="str">
        <x:v>有人說：「用一族服飾代表所有族群」哪個答案能改正這個說法？</x:v>
      </x:c>
      <x:c r="I22" s="35" t="str">
        <x:v>分族查資料，再比較文化異同</x:v>
      </x:c>
      <x:c r="J22" s="35" t="str">
        <x:v>限定結論範圍並說明調查限制</x:v>
      </x:c>
      <x:c r="K22" s="35" t="str">
        <x:v>查紀錄、調方法，再用同指標測量</x:v>
      </x:c>
      <x:c r="L22" s="35" t="str">
        <x:v>季風影響航程與風險，但不保證安全</x:v>
      </x:c>
      <x:c r="M22" s="35" t="str">
        <x:v>A</x:v>
      </x:c>
      <x:c r="N22" s="35" t="str">
        <x:v>分族查資料，再比較文化異同</x:v>
      </x:c>
      <x:c r="O22" s="35" t="str">
        <x:v>確認資料談的是哪一族、由誰陳述。</x:v>
      </x:c>
      <x:c r="P22" s="35" t="str">
        <x:v>迷思「用一族服飾代表所有族群」的問題，是它沒有處理「班級要介紹三個原住民族的生活文化」提供的關鍵條件。文化和環境、歷史及自我認同有關，應讓各族群資料被清楚區分，避免刻板化。</x:v>
      </x:c>
      <x:c r="Q22" s="35" t="str">
        <x:v>證據吻合。選項「分族查資料，再比較文化異同」能把文化多樣性的線索合理連起來。</x:v>
      </x:c>
      <x:c r="R22" s="35" t="str">
        <x:v>「限定結論範圍並說明調查限制」是「結論界線」的重點，但不能回答本題的「文化多樣性」。請回看：確認資料談的是哪一族、由誰陳述。</x:v>
      </x:c>
      <x:c r="S22" s="35" t="str">
        <x:v>「查紀錄、調方法，再用同指標測量」是「行動省思」的重點，但不能回答本題的「文化多樣性」。請回看：確認資料談的是哪一族、由誰陳述。</x:v>
      </x:c>
      <x:c r="T22" s="35" t="str">
        <x:v>「季風影響航程與風險，但不保證安全」是「移民與季風」的重點，但不能回答本題的「文化多樣性」。請回看：確認資料談的是哪一族、由誰陳述。</x:v>
      </x:c>
      <x:c r="U22" s="35" t="str">
        <x:v>判斷正確</x:v>
      </x:c>
      <x:c r="V22" s="35" t="str">
        <x:v>單因推論</x:v>
      </x:c>
      <x:c r="W22" s="35" t="str">
        <x:v>證據不足</x:v>
      </x:c>
      <x:c r="X22" s="35" t="str">
        <x:v>忽略利害關係人</x:v>
      </x:c>
      <x:c r="Y22" s="35" t="str">
        <x:v>確認資料談的是哪一族、由誰陳述。</x:v>
      </x:c>
      <x:c r="Z22" s="35" t="str">
        <x:v>訂規則、維修配置與歸還責任</x:v>
      </x:c>
      <x:c r="AA22" s="35" t="str">
        <x:v>泥沙堆積使船難進出，港口轉移</x:v>
      </x:c>
      <x:c r="AB22" s="35" t="str">
        <x:v>A</x:v>
      </x:c>
      <x:c r="AC22" s="35" t="str">
        <x:v>這是判斷「文化多樣性」時要使用的依據。文化和環境、歷史及自我認同有關，應讓各族群資料被清楚區分，避免刻板化。</x:v>
      </x:c>
      <x:c r="AD22" s="35" t="str">
        <x:v>這是「共享資源」的重點；本題要判斷的是「文化多樣性」，兩者不能互相代替。</x:v>
      </x:c>
      <x:c r="AE22" s="35" t="str">
        <x:v>這項知識屬於「潟湖與港口」，無法支持本題的「文化多樣性」判斷。</x:v>
      </x:c>
      <x:c r="AF22" s="35" t="str">
        <x:v>文化海報要標族名與資料來源。</x:v>
      </x:c>
    </x:row>
    <x:row r="23" ht="76" customHeight="1">
      <x:c r="A23" s="35" t="str">
        <x:v>5A-U2</x:v>
      </x:c>
      <x:c r="B23" s="35" t="str">
        <x:v>五上</x:v>
      </x:c>
      <x:c r="C23" s="35" t="n">
        <x:v>2</x:v>
      </x:c>
      <x:c r="D23" s="35" t="str">
        <x:v>島嶼上的生活樣貌</x:v>
      </x:c>
      <x:c r="E23" s="35" t="str">
        <x:v>5A-U2-O2</x:v>
      </x:c>
      <x:c r="F23" s="35" t="n">
        <x:v>4</x:v>
      </x:c>
      <x:c r="G23" s="35" t="str">
        <x:v>情境判斷</x:v>
      </x:c>
      <x:c r="H23" s="35" t="str">
        <x:v>不同族群發展出漁撈、狩獵或耕作等不同方式。哪個答案最合理？</x:v>
      </x:c>
      <x:c r="I23" s="35" t="str">
        <x:v>環境、季節與歷史共同影響生活</x:v>
      </x:c>
      <x:c r="J23" s="35" t="str">
        <x:v>差異只由個人喜好造成</x:v>
      </x:c>
      <x:c r="K23" s="35" t="str">
        <x:v>住山區就一定不和外界交流</x:v>
      </x:c>
      <x:c r="L23" s="35" t="str">
        <x:v>商品與港口帶動北部市鎮發展</x:v>
      </x:c>
      <x:c r="M23" s="35" t="str">
        <x:v>A</x:v>
      </x:c>
      <x:c r="N23" s="35" t="str">
        <x:v>環境、季節與歷史共同影響生活</x:v>
      </x:c>
      <x:c r="O23" s="35" t="str">
        <x:v>不要只用自然或個人單一原因。</x:v>
      </x:c>
      <x:c r="P23" s="35" t="str">
        <x:v>自然環境提供條件，人群仍會依文化與歷史作選擇，且文化會延續也會調整。</x:v>
      </x:c>
      <x:c r="Q23" s="35" t="str">
        <x:v>這項選擇成立：環境、季節與歷史共同影響生活。它抓住環境與生活的關鍵條件。</x:v>
      </x:c>
      <x:c r="R23" s="35" t="str">
        <x:v>選項和題意關係較弱。提示：不要只用自然或個人單一原因。</x:v>
      </x:c>
      <x:c r="S23" s="35" t="str">
        <x:v>這裡混淆了條件與結論。提示：不要只用自然或個人單一原因。</x:v>
      </x:c>
      <x:c r="T23" s="35" t="str">
        <x:v>「商品與港口帶動北部市鎮發展」是「經濟北移」的重點，但不能回答本題的「環境與生活」。請回看：不要只用自然或個人單一原因。</x:v>
      </x:c>
      <x:c r="U23" s="35" t="str">
        <x:v>判斷正確</x:v>
      </x:c>
      <x:c r="V23" s="35" t="str">
        <x:v>過度概括</x:v>
      </x:c>
      <x:c r="W23" s="35" t="str">
        <x:v>單因推論</x:v>
      </x:c>
      <x:c r="X23" s="35" t="str">
        <x:v>證據不足</x:v>
      </x:c>
      <x:c r="Y23" s="35" t="str">
        <x:v>不要只用自然或個人單一原因。</x:v>
      </x:c>
      <x:c r="Z23" s="35" t="str">
        <x:v>季風影響航程與風險，但不保證安全</x:v>
      </x:c>
      <x:c r="AA23" s="35" t="str">
        <x:v>訂規則、維修配置與歸還責任</x:v>
      </x:c>
      <x:c r="AB23" s="35" t="str">
        <x:v>A</x:v>
      </x:c>
      <x:c r="AC23" s="35" t="str">
        <x:v>這是判斷「環境與生活」時要使用的依據。自然環境提供條件，人群仍會依文化與歷史作選擇，且文化會延續也會調整。</x:v>
      </x:c>
      <x:c r="AD23" s="35" t="str">
        <x:v>這是「移民與季風」的重點；本題要判斷的是「環境與生活」，兩者不能互相代替。</x:v>
      </x:c>
      <x:c r="AE23" s="35" t="str">
        <x:v>這項知識屬於「共享資源」，無法支持本題的「環境與生活」判斷。</x:v>
      </x:c>
      <x:c r="AF23" s="35" t="str">
        <x:v>比較地方飲食時，也追查食材環境與交流史。</x:v>
      </x:c>
    </x:row>
    <x:row r="24" ht="76" customHeight="1">
      <x:c r="A24" s="35" t="str">
        <x:v>5A-U2</x:v>
      </x:c>
      <x:c r="B24" s="35" t="str">
        <x:v>五上</x:v>
      </x:c>
      <x:c r="C24" s="35" t="n">
        <x:v>2</x:v>
      </x:c>
      <x:c r="D24" s="35" t="str">
        <x:v>島嶼上的生活樣貌</x:v>
      </x:c>
      <x:c r="E24" s="35" t="str">
        <x:v>5A-U2-O2</x:v>
      </x:c>
      <x:c r="F24" s="35" t="n">
        <x:v>5</x:v>
      </x:c>
      <x:c r="G24" s="35" t="str">
        <x:v>證據判讀</x:v>
      </x:c>
      <x:c r="H24" s="35" t="str">
        <x:v>哪項資料最能支持「環境、季節與歷史共同影響生活」？</x:v>
      </x:c>
      <x:c r="I24" s="35" t="str">
        <x:v>和題目直接有關的資料</x:v>
      </x:c>
      <x:c r="J24" s="35" t="str">
        <x:v>遺物顯示可能已有農耕定居生活</x:v>
      </x:c>
      <x:c r="K24" s="35" t="str">
        <x:v>保留植被並依坡度調整耕作</x:v>
      </x:c>
      <x:c r="L24" s="35" t="str">
        <x:v>比較供應、動物、傳染病與廢水管理</x:v>
      </x:c>
      <x:c r="M24" s="35" t="str">
        <x:v>A</x:v>
      </x:c>
      <x:c r="N24" s="35" t="str">
        <x:v>和題目直接有關的資料</x:v>
      </x:c>
      <x:c r="O24" s="35" t="str">
        <x:v>不要只用自然或個人單一原因。</x:v>
      </x:c>
      <x:c r="P24" s="35" t="str">
        <x:v>這題檢查的是證據能否直接支持「所在地環境、季節與歷史經驗共同影響生活選擇」，不是文字長短或票數。自然環境提供條件，人群仍會依文化與歷史作選擇，且文化會延續也會調整。</x:v>
      </x:c>
      <x:c r="Q24" s="35" t="str">
        <x:v>證據吻合。選項「和題目直接有關的資料」能把環境與生活的線索合理連起來。</x:v>
      </x:c>
      <x:c r="R24" s="35" t="str">
        <x:v>「遺物顯示可能已有農耕定居生活」是「史前證據」的重點，但不能回答本題的「環境與生活」。請回看：不要只用自然或個人單一原因。</x:v>
      </x:c>
      <x:c r="S24" s="35" t="str">
        <x:v>「保留植被並依坡度調整耕作」是「永續農業」的重點，但不能回答本題的「環境與生活」。請回看：不要只用自然或個人單一原因。</x:v>
      </x:c>
      <x:c r="T24" s="35" t="str">
        <x:v>「比較供應、動物、傳染病與廢水管理」是「畜牧權衡」的重點，但不能回答本題的「環境與生活」。請回看：不要只用自然或個人單一原因。</x:v>
      </x:c>
      <x:c r="U24" s="35" t="str">
        <x:v>判斷正確</x:v>
      </x:c>
      <x:c r="V24" s="35" t="str">
        <x:v>單因推論</x:v>
      </x:c>
      <x:c r="W24" s="35" t="str">
        <x:v>證據不足</x:v>
      </x:c>
      <x:c r="X24" s="35" t="str">
        <x:v>忽略利害關係人</x:v>
      </x:c>
      <x:c r="Y24" s="35" t="str">
        <x:v>不要只用自然或個人單一原因。</x:v>
      </x:c>
      <x:c r="Z24" s="35" t="str">
        <x:v>風險分配與居民參與需要公平</x:v>
      </x:c>
      <x:c r="AA24" s="35" t="str">
        <x:v>長期追蹤保存、參與、就業與環境</x:v>
      </x:c>
      <x:c r="AB24" s="35" t="str">
        <x:v>A</x:v>
      </x:c>
      <x:c r="AC24" s="35" t="str">
        <x:v>這是判斷「環境與生活」時要使用的依據。自然環境提供條件，人群仍會依文化與歷史作選擇，且文化會延續也會調整。</x:v>
      </x:c>
      <x:c r="AD24" s="35" t="str">
        <x:v>這是「環境正義」的重點；本題要判斷的是「環境與生活」，兩者不能互相代替。</x:v>
      </x:c>
      <x:c r="AE24" s="35" t="str">
        <x:v>這項知識屬於「地方轉型」，無法支持本題的「環境與生活」判斷。</x:v>
      </x:c>
      <x:c r="AF24" s="35" t="str">
        <x:v>比較地方飲食時，也追查食材環境與交流史。</x:v>
      </x:c>
    </x:row>
    <x:row r="25" ht="76" customHeight="1">
      <x:c r="A25" s="35" t="str">
        <x:v>5A-U2</x:v>
      </x:c>
      <x:c r="B25" s="35" t="str">
        <x:v>五上</x:v>
      </x:c>
      <x:c r="C25" s="35" t="n">
        <x:v>2</x:v>
      </x:c>
      <x:c r="D25" s="35" t="str">
        <x:v>島嶼上的生活樣貌</x:v>
      </x:c>
      <x:c r="E25" s="35" t="str">
        <x:v>5A-U2-O2</x:v>
      </x:c>
      <x:c r="F25" s="35" t="n">
        <x:v>6</x:v>
      </x:c>
      <x:c r="G25" s="35" t="str">
        <x:v>迷思修正</x:v>
      </x:c>
      <x:c r="H25" s="35" t="str">
        <x:v>有人說：「差異只由個人喜好造成」哪個答案能改正這個說法？</x:v>
      </x:c>
      <x:c r="I25" s="35" t="str">
        <x:v>環境、季節與歷史共同影響生活</x:v>
      </x:c>
      <x:c r="J25" s="35" t="str">
        <x:v>比較具體貢獻、限制與在地回應</x:v>
      </x:c>
      <x:c r="K25" s="35" t="str">
        <x:v>外力暴露治理不足，促使政策改變</x:v>
      </x:c>
      <x:c r="L25" s="35" t="str">
        <x:v>海防受重視，建省與建設強化治理</x:v>
      </x:c>
      <x:c r="M25" s="35" t="str">
        <x:v>A</x:v>
      </x:c>
      <x:c r="N25" s="35" t="str">
        <x:v>環境、季節與歷史共同影響生活</x:v>
      </x:c>
      <x:c r="O25" s="35" t="str">
        <x:v>不要只用自然或個人單一原因。</x:v>
      </x:c>
      <x:c r="P25" s="35" t="str">
        <x:v>迷思「差異只由個人喜好造成」的問題，是它沒有處理「不同族群發展出漁撈、狩獵或耕作等不同方式」提供的關鍵條件。自然環境提供條件，人群仍會依文化與歷史作選擇，且文化會延續也會調整。</x:v>
      </x:c>
      <x:c r="Q25" s="35" t="str">
        <x:v>答對了；「環境、季節與歷史共同影響生活」同時保留了環境與生活需要的範圍與限制。</x:v>
      </x:c>
      <x:c r="R25" s="35" t="str">
        <x:v>「比較具體貢獻、限制與在地回應」是「人物與交流」的重點，但不能回答本題的「環境與生活」。請回看：不要只用自然或個人單一原因。</x:v>
      </x:c>
      <x:c r="S25" s="35" t="str">
        <x:v>「外力暴露治理不足，促使政策改變」是「牡丹社事件」的重點，但不能回答本題的「環境與生活」。請回看：不要只用自然或個人單一原因。</x:v>
      </x:c>
      <x:c r="T25" s="35" t="str">
        <x:v>「海防受重視，建省與建設強化治理」是「清法戰爭與建省」的重點，但不能回答本題的「環境與生活」。請回看：不要只用自然或個人單一原因。</x:v>
      </x:c>
      <x:c r="U25" s="35" t="str">
        <x:v>判斷正確</x:v>
      </x:c>
      <x:c r="V25" s="35" t="str">
        <x:v>證據不足</x:v>
      </x:c>
      <x:c r="W25" s="35" t="str">
        <x:v>忽略利害關係人</x:v>
      </x:c>
      <x:c r="X25" s="35" t="str">
        <x:v>把意見當證據</x:v>
      </x:c>
      <x:c r="Y25" s="35" t="str">
        <x:v>不要只用自然或個人單一原因。</x:v>
      </x:c>
      <x:c r="Z25" s="35" t="str">
        <x:v>臺灣是遷徙與交流的中繼點</x:v>
      </x:c>
      <x:c r="AA25" s="35" t="str">
        <x:v>核對單位、時間、尺度與原始數值</x:v>
      </x:c>
      <x:c r="AB25" s="35" t="str">
        <x:v>A</x:v>
      </x:c>
      <x:c r="AC25" s="35" t="str">
        <x:v>這是判斷「環境與生活」時要使用的依據。自然環境提供條件，人群仍會依文化與歷史作選擇，且文化會延續也會調整。</x:v>
      </x:c>
      <x:c r="AD25" s="35" t="str">
        <x:v>這是「位置與交流」的重點；本題要判斷的是「環境與生活」，兩者不能互相代替。</x:v>
      </x:c>
      <x:c r="AE25" s="35" t="str">
        <x:v>這項知識屬於「圖表判讀」，無法支持本題的「環境與生活」判斷。</x:v>
      </x:c>
      <x:c r="AF25" s="35" t="str">
        <x:v>比較地方飲食時，也追查食材環境與交流史。</x:v>
      </x:c>
    </x:row>
    <x:row r="26" ht="76" customHeight="1">
      <x:c r="A26" s="35" t="str">
        <x:v>5A-U2</x:v>
      </x:c>
      <x:c r="B26" s="35" t="str">
        <x:v>五上</x:v>
      </x:c>
      <x:c r="C26" s="35" t="n">
        <x:v>2</x:v>
      </x:c>
      <x:c r="D26" s="35" t="str">
        <x:v>島嶼上的生活樣貌</x:v>
      </x:c>
      <x:c r="E26" s="35" t="str">
        <x:v>5A-U2-O3</x:v>
      </x:c>
      <x:c r="F26" s="35" t="n">
        <x:v>7</x:v>
      </x:c>
      <x:c r="G26" s="35" t="str">
        <x:v>情境判斷</x:v>
      </x:c>
      <x:c r="H26" s="35" t="str">
        <x:v>同學排隊靠班級約定；不安全食品造成多人受害則要依法處理。哪個答案最合理？</x:v>
      </x:c>
      <x:c r="I26" s="35" t="str">
        <x:v>規範與法律的形成及強制力不同</x:v>
      </x:c>
      <x:c r="J26" s="35" t="str">
        <x:v>所有生活問題都必須由法院判刑</x:v>
      </x:c>
      <x:c r="K26" s="35" t="str">
        <x:v>有禮貌就完全不需要法律</x:v>
      </x:c>
      <x:c r="L26" s="35" t="str">
        <x:v>停止交易並改用官方查證與付款</x:v>
      </x:c>
      <x:c r="M26" s="35" t="str">
        <x:v>A</x:v>
      </x:c>
      <x:c r="N26" s="35" t="str">
        <x:v>規範與法律的形成及強制力不同</x:v>
      </x:c>
      <x:c r="O26" s="35" t="str">
        <x:v>比較由誰制定、如何執行、保護誰。</x:v>
      </x:c>
      <x:c r="P26" s="35" t="str">
        <x:v>生活規範常靠習慣與團體約定；涉及公共安全和權利時，法律提供強制標準與救濟。</x:v>
      </x:c>
      <x:c r="Q26" s="35" t="str">
        <x:v>證據吻合。選項「規範與法律的形成及強制力不同」能把規範與法律的線索合理連起來。</x:v>
      </x:c>
      <x:c r="R26" s="35" t="str">
        <x:v>這裡混淆了條件與結論。提示：比較由誰制定、如何執行、保護誰。</x:v>
      </x:c>
      <x:c r="S26" s="35" t="str">
        <x:v>這項判斷忽略重要限制。請想想：比較由誰制定、如何執行、保護誰。</x:v>
      </x:c>
      <x:c r="T26" s="35" t="str">
        <x:v>「停止交易並改用官方查證與付款」是「消費安全」的重點，但不能回答本題的「規範與法律」。請回看：比較由誰制定、如何執行、保護誰。</x:v>
      </x:c>
      <x:c r="U26" s="35" t="str">
        <x:v>判斷正確</x:v>
      </x:c>
      <x:c r="V26" s="35" t="str">
        <x:v>單因推論</x:v>
      </x:c>
      <x:c r="W26" s="35" t="str">
        <x:v>證據不足</x:v>
      </x:c>
      <x:c r="X26" s="35" t="str">
        <x:v>忽略利害關係人</x:v>
      </x:c>
      <x:c r="Y26" s="35" t="str">
        <x:v>比較由誰制定、如何執行、保護誰。</x:v>
      </x:c>
      <x:c r="Z26" s="35" t="str">
        <x:v>比較具體貢獻、限制與在地回應</x:v>
      </x:c>
      <x:c r="AA26" s="35" t="str">
        <x:v>臺灣是遷徙與交流的中繼點</x:v>
      </x:c>
      <x:c r="AB26" s="35" t="str">
        <x:v>A</x:v>
      </x:c>
      <x:c r="AC26" s="35" t="str">
        <x:v>這是判斷「規範與法律」時要使用的依據。生活規範常靠習慣與團體約定；涉及公共安全和權利時，法律提供強制標準與救濟。</x:v>
      </x:c>
      <x:c r="AD26" s="35" t="str">
        <x:v>這是「人物與交流」的重點；本題要判斷的是「規範與法律」，兩者不能互相代替。</x:v>
      </x:c>
      <x:c r="AE26" s="35" t="str">
        <x:v>這項知識屬於「位置與交流」，無法支持本題的「規範與法律」判斷。</x:v>
      </x:c>
      <x:c r="AF26" s="35" t="str">
        <x:v>訂班規時說明目的，也標出涉及法律的界線。</x:v>
      </x:c>
    </x:row>
    <x:row r="27" ht="76" customHeight="1">
      <x:c r="A27" s="35" t="str">
        <x:v>5A-U2</x:v>
      </x:c>
      <x:c r="B27" s="35" t="str">
        <x:v>五上</x:v>
      </x:c>
      <x:c r="C27" s="35" t="n">
        <x:v>2</x:v>
      </x:c>
      <x:c r="D27" s="35" t="str">
        <x:v>島嶼上的生活樣貌</x:v>
      </x:c>
      <x:c r="E27" s="35" t="str">
        <x:v>5A-U2-O3</x:v>
      </x:c>
      <x:c r="F27" s="35" t="n">
        <x:v>8</x:v>
      </x:c>
      <x:c r="G27" s="35" t="str">
        <x:v>證據判讀</x:v>
      </x:c>
      <x:c r="H27" s="35" t="str">
        <x:v>哪項資料最能支持「規範與法律的形成及強制力不同」？</x:v>
      </x:c>
      <x:c r="I27" s="35" t="str">
        <x:v>和題目直接有關的資料</x:v>
      </x:c>
      <x:c r="J27" s="35" t="str">
        <x:v>比較雙方立場、目的與證據</x:v>
      </x:c>
      <x:c r="K27" s="35" t="str">
        <x:v>貿易增加，也改變土地與族群關係</x:v>
      </x:c>
      <x:c r="L27" s="35" t="str">
        <x:v>聚焦特定海岸、時間與不同觀點</x:v>
      </x:c>
      <x:c r="M27" s="35" t="str">
        <x:v>A</x:v>
      </x:c>
      <x:c r="N27" s="35" t="str">
        <x:v>和題目直接有關的資料</x:v>
      </x:c>
      <x:c r="O27" s="35" t="str">
        <x:v>比較由誰制定、如何執行、保護誰。</x:v>
      </x:c>
      <x:c r="P27" s="35" t="str">
        <x:v>這題檢查的是證據能否直接支持「規範與法律都影響行為，但形成方式、強制力與處理範圍不同」，不是文字長短或票數。生活規範常靠習慣與團體約定；涉及公共安全和權利時，法律提供強制標準與救濟。</x:v>
      </x:c>
      <x:c r="Q27" s="35" t="str">
        <x:v>答對了；「和題目直接有關的資料」同時保留了規範與法律需要的範圍與限制。</x:v>
      </x:c>
      <x:c r="R27" s="35" t="str">
        <x:v>「比較雙方立場、目的與證據」是「多元觀點」的重點，但不能回答本題的「規範與法律」。請回看：比較由誰制定、如何執行、保護誰。</x:v>
      </x:c>
      <x:c r="S27" s="35" t="str">
        <x:v>「貿易增加，也改變土地與族群關係」是「貿易影響」的重點，但不能回答本題的「規範與法律」。請回看：比較由誰制定、如何執行、保護誰。</x:v>
      </x:c>
      <x:c r="T27" s="35" t="str">
        <x:v>「聚焦特定海岸、時間與不同觀點」是「問題形成」的重點，但不能回答本題的「規範與法律」。請回看：比較由誰制定、如何執行、保護誰。</x:v>
      </x:c>
      <x:c r="U27" s="35" t="str">
        <x:v>判斷正確</x:v>
      </x:c>
      <x:c r="V27" s="35" t="str">
        <x:v>證據不足</x:v>
      </x:c>
      <x:c r="W27" s="35" t="str">
        <x:v>忽略利害關係人</x:v>
      </x:c>
      <x:c r="X27" s="35" t="str">
        <x:v>把意見當證據</x:v>
      </x:c>
      <x:c r="Y27" s="35" t="str">
        <x:v>比較由誰制定、如何執行、保護誰。</x:v>
      </x:c>
      <x:c r="Z27" s="35" t="str">
        <x:v>訪談多方並搭配噪音與發電資料</x:v>
      </x:c>
      <x:c r="AA27" s="35" t="str">
        <x:v>結合檔案、觀察與多方訪談</x:v>
      </x:c>
      <x:c r="AB27" s="35" t="str">
        <x:v>A</x:v>
      </x:c>
      <x:c r="AC27" s="35" t="str">
        <x:v>這是判斷「規範與法律」時要使用的依據。生活規範常靠習慣與團體約定；涉及公共安全和權利時，法律提供強制標準與救濟。</x:v>
      </x:c>
      <x:c r="AD27" s="35" t="str">
        <x:v>這是「多元觀點」的重點；本題要判斷的是「規範與法律」，兩者不能互相代替。</x:v>
      </x:c>
      <x:c r="AE27" s="35" t="str">
        <x:v>這項知識屬於「多元資料」，無法支持本題的「規範與法律」判斷。</x:v>
      </x:c>
      <x:c r="AF27" s="35" t="str">
        <x:v>訂班規時說明目的，也標出涉及法律的界線。</x:v>
      </x:c>
    </x:row>
    <x:row r="28" ht="76" customHeight="1">
      <x:c r="A28" s="35" t="str">
        <x:v>5A-U2</x:v>
      </x:c>
      <x:c r="B28" s="35" t="str">
        <x:v>五上</x:v>
      </x:c>
      <x:c r="C28" s="35" t="n">
        <x:v>2</x:v>
      </x:c>
      <x:c r="D28" s="35" t="str">
        <x:v>島嶼上的生活樣貌</x:v>
      </x:c>
      <x:c r="E28" s="35" t="str">
        <x:v>5A-U2-O3</x:v>
      </x:c>
      <x:c r="F28" s="35" t="n">
        <x:v>9</x:v>
      </x:c>
      <x:c r="G28" s="35" t="str">
        <x:v>迷思修正</x:v>
      </x:c>
      <x:c r="H28" s="35" t="str">
        <x:v>有人說：「所有生活問題都必須由法院判刑」哪個答案能改正這個說法？</x:v>
      </x:c>
      <x:c r="I28" s="35" t="str">
        <x:v>規範與法律的形成及強制力不同</x:v>
      </x:c>
      <x:c r="J28" s="35" t="str">
        <x:v>保存證據，再循正式管道申訴</x:v>
      </x:c>
      <x:c r="K28" s="35" t="str">
        <x:v>查合法性，不投入無法承受的資金</x:v>
      </x:c>
      <x:c r="L28" s="35" t="str">
        <x:v>訂規則、維修配置與歸還責任</x:v>
      </x:c>
      <x:c r="M28" s="35" t="str">
        <x:v>A</x:v>
      </x:c>
      <x:c r="N28" s="35" t="str">
        <x:v>規範與法律的形成及強制力不同</x:v>
      </x:c>
      <x:c r="O28" s="35" t="str">
        <x:v>比較由誰制定、如何執行、保護誰。</x:v>
      </x:c>
      <x:c r="P28" s="35" t="str">
        <x:v>迷思「所有生活問題都必須由法院判刑」的問題，是它沒有處理「同學排隊靠班級約定；不安全食品造成多人受害則要依法處理」提供的關鍵條件。生活規範常靠習慣與團體約定；涉及公共安全和權利時，法律提供強制標準與救濟。</x:v>
      </x:c>
      <x:c r="Q28" s="35" t="str">
        <x:v>你的判讀可被查證：規範與法律的形成及強制力不同。這正是規範與法律要比較的核心。</x:v>
      </x:c>
      <x:c r="R28" s="35" t="str">
        <x:v>「保存證據，再循正式管道申訴」是「消費權益」的重點，但不能回答本題的「規範與法律」。請回看：比較由誰制定、如何執行、保護誰。</x:v>
      </x:c>
      <x:c r="S28" s="35" t="str">
        <x:v>「查合法性，不投入無法承受的資金」是「理財風險」的重點，但不能回答本題的「規範與法律」。請回看：比較由誰制定、如何執行、保護誰。</x:v>
      </x:c>
      <x:c r="T28" s="35" t="str">
        <x:v>「訂規則、維修配置與歸還責任」是「共享資源」的重點，但不能回答本題的「規範與法律」。請回看：比較由誰制定、如何執行、保護誰。</x:v>
      </x:c>
      <x:c r="U28" s="35" t="str">
        <x:v>判斷正確</x:v>
      </x:c>
      <x:c r="V28" s="35" t="str">
        <x:v>忽略利害關係人</x:v>
      </x:c>
      <x:c r="W28" s="35" t="str">
        <x:v>把意見當證據</x:v>
      </x:c>
      <x:c r="X28" s="35" t="str">
        <x:v>位置錯置</x:v>
      </x:c>
      <x:c r="Y28" s="35" t="str">
        <x:v>比較由誰制定、如何執行、保護誰。</x:v>
      </x:c>
      <x:c r="Z28" s="35" t="str">
        <x:v>設禁漁期、尺寸限制並協助轉型</x:v>
      </x:c>
      <x:c r="AA28" s="35" t="str">
        <x:v>港市帶動文化，但各族群影響不同</x:v>
      </x:c>
      <x:c r="AB28" s="35" t="str">
        <x:v>A</x:v>
      </x:c>
      <x:c r="AC28" s="35" t="str">
        <x:v>這是判斷「規範與法律」時要使用的依據。生活規範常靠習慣與團體約定；涉及公共安全和權利時，法律提供強制標準與救濟。</x:v>
      </x:c>
      <x:c r="AD28" s="35" t="str">
        <x:v>這是「永續漁業」的重點；本題要判斷的是「規範與法律」，兩者不能互相代替。</x:v>
      </x:c>
      <x:c r="AE28" s="35" t="str">
        <x:v>這項知識屬於「港市與文化」，無法支持本題的「規範與法律」判斷。</x:v>
      </x:c>
      <x:c r="AF28" s="35" t="str">
        <x:v>訂班規時說明目的，也標出涉及法律的界線。</x:v>
      </x:c>
    </x:row>
    <x:row r="29" ht="76" customHeight="1">
      <x:c r="A29" s="35" t="str">
        <x:v>5A-U2</x:v>
      </x:c>
      <x:c r="B29" s="35" t="str">
        <x:v>五上</x:v>
      </x:c>
      <x:c r="C29" s="35" t="n">
        <x:v>2</x:v>
      </x:c>
      <x:c r="D29" s="35" t="str">
        <x:v>島嶼上的生活樣貌</x:v>
      </x:c>
      <x:c r="E29" s="35" t="str">
        <x:v>5A-U2-O4</x:v>
      </x:c>
      <x:c r="F29" s="35" t="n">
        <x:v>10</x:v>
      </x:c>
      <x:c r="G29" s="35" t="str">
        <x:v>情境判斷</x:v>
      </x:c>
      <x:c r="H29" s="35" t="str">
        <x:v>博愛座標示與使用方式隨社會討論調整。哪個答案最合理？</x:v>
      </x:c>
      <x:c r="I29" s="35" t="str">
        <x:v>規範可調整，互助目的仍保留</x:v>
      </x:c>
      <x:c r="J29" s="35" t="str">
        <x:v>規範制定後永遠不能修改</x:v>
      </x:c>
      <x:c r="K29" s="35" t="str">
        <x:v>只要有人反對就應立刻取消</x:v>
      </x:c>
      <x:c r="L29" s="35" t="str">
        <x:v>設基準與措施，四週後同指標比較</x:v>
      </x:c>
      <x:c r="M29" s="35" t="str">
        <x:v>A</x:v>
      </x:c>
      <x:c r="N29" s="35" t="str">
        <x:v>規範可調整，互助目的仍保留</x:v>
      </x:c>
      <x:c r="O29" s="35" t="str">
        <x:v>把規範的目的和形式分開看。</x:v>
      </x:c>
      <x:c r="P29" s="35" t="str">
        <x:v>規範服務共同生活，能因新需求修正；改變做法不等於放棄互助價值。</x:v>
      </x:c>
      <x:c r="Q29" s="35" t="str">
        <x:v>答對了；「規範可調整，互助目的仍保留」同時保留了規範變遷需要的範圍與限制。</x:v>
      </x:c>
      <x:c r="R29" s="35" t="str">
        <x:v>這項判斷忽略重要限制。請想想：把規範的目的和形式分開看。</x:v>
      </x:c>
      <x:c r="S29" s="35" t="str">
        <x:v>焦點放錯了。請回看：把規範的目的和形式分開看。</x:v>
      </x:c>
      <x:c r="T29" s="35" t="str">
        <x:v>「設基準與措施，四週後同指標比較」是「行動評估」的重點，但不能回答本題的「規範變遷」。請回看：把規範的目的和形式分開看。</x:v>
      </x:c>
      <x:c r="U29" s="35" t="str">
        <x:v>判斷正確</x:v>
      </x:c>
      <x:c r="V29" s="35" t="str">
        <x:v>證據不足</x:v>
      </x:c>
      <x:c r="W29" s="35" t="str">
        <x:v>忽略利害關係人</x:v>
      </x:c>
      <x:c r="X29" s="35" t="str">
        <x:v>把意見當證據</x:v>
      </x:c>
      <x:c r="Y29" s="35" t="str">
        <x:v>把規範的目的和形式分開看。</x:v>
      </x:c>
      <x:c r="Z29" s="35" t="str">
        <x:v>風險分配與居民參與需要公平</x:v>
      </x:c>
      <x:c r="AA29" s="35" t="str">
        <x:v>設禁漁期、尺寸限制並協助轉型</x:v>
      </x:c>
      <x:c r="AB29" s="35" t="str">
        <x:v>A</x:v>
      </x:c>
      <x:c r="AC29" s="35" t="str">
        <x:v>這是判斷「規範變遷」時要使用的依據。規範服務共同生活，能因新需求修正；改變做法不等於放棄互助價值。</x:v>
      </x:c>
      <x:c r="AD29" s="35" t="str">
        <x:v>這是「環境正義」的重點；本題要判斷的是「規範變遷」，兩者不能互相代替。</x:v>
      </x:c>
      <x:c r="AE29" s="35" t="str">
        <x:v>這項知識屬於「永續漁業」，無法支持本題的「規範變遷」判斷。</x:v>
      </x:c>
      <x:c r="AF29" s="35" t="str">
        <x:v>遇到新規定時，比較改前改後處理的問題。</x:v>
      </x:c>
    </x:row>
    <x:row r="30" ht="76" customHeight="1">
      <x:c r="A30" s="35" t="str">
        <x:v>5A-U2</x:v>
      </x:c>
      <x:c r="B30" s="35" t="str">
        <x:v>五上</x:v>
      </x:c>
      <x:c r="C30" s="35" t="n">
        <x:v>2</x:v>
      </x:c>
      <x:c r="D30" s="35" t="str">
        <x:v>島嶼上的生活樣貌</x:v>
      </x:c>
      <x:c r="E30" s="35" t="str">
        <x:v>5A-U2-O4</x:v>
      </x:c>
      <x:c r="F30" s="35" t="n">
        <x:v>11</x:v>
      </x:c>
      <x:c r="G30" s="35" t="str">
        <x:v>證據判讀</x:v>
      </x:c>
      <x:c r="H30" s="35" t="str">
        <x:v>哪項資料最能支持「規範可調整，互助目的仍保留」？</x:v>
      </x:c>
      <x:c r="I30" s="35" t="str">
        <x:v>和題目直接有關的資料</x:v>
      </x:c>
      <x:c r="J30" s="35" t="str">
        <x:v>生活、機會與政策共同影響移動</x:v>
      </x:c>
      <x:c r="K30" s="35" t="str">
        <x:v>分析資源、語言、組織與治理</x:v>
      </x:c>
      <x:c r="L30" s="35" t="str">
        <x:v>港市帶動文化，但各族群影響不同</x:v>
      </x:c>
      <x:c r="M30" s="35" t="str">
        <x:v>A</x:v>
      </x:c>
      <x:c r="N30" s="35" t="str">
        <x:v>和題目直接有關的資料</x:v>
      </x:c>
      <x:c r="O30" s="35" t="str">
        <x:v>把規範的目的和形式分開看。</x:v>
      </x:c>
      <x:c r="P30" s="35" t="str">
        <x:v>這題檢查的是證據能否直接支持「規範會依需求與價值變化而檢討，但互助目的仍可保留」，不是文字長短或票數。規範服務共同生活，能因新需求修正；改變做法不等於放棄互助價值。</x:v>
      </x:c>
      <x:c r="Q30" s="35" t="str">
        <x:v>你的判讀可被查證：和題目直接有關的資料。這正是規範變遷要比較的核心。</x:v>
      </x:c>
      <x:c r="R30" s="35" t="str">
        <x:v>「生活、機會與政策共同影響移動」是「遷移原因」的重點，但不能回答本題的「規範變遷」。請回看：把規範的目的和形式分開看。</x:v>
      </x:c>
      <x:c r="S30" s="35" t="str">
        <x:v>「分析資源、語言、組織與治理」是「族群衝突」的重點，但不能回答本題的「規範變遷」。請回看：把規範的目的和形式分開看。</x:v>
      </x:c>
      <x:c r="T30" s="35" t="str">
        <x:v>「港市帶動文化，但各族群影響不同」是「港市與文化」的重點，但不能回答本題的「規範變遷」。請回看：把規範的目的和形式分開看。</x:v>
      </x:c>
      <x:c r="U30" s="35" t="str">
        <x:v>判斷正確</x:v>
      </x:c>
      <x:c r="V30" s="35" t="str">
        <x:v>忽略利害關係人</x:v>
      </x:c>
      <x:c r="W30" s="35" t="str">
        <x:v>把意見當證據</x:v>
      </x:c>
      <x:c r="X30" s="35" t="str">
        <x:v>位置錯置</x:v>
      </x:c>
      <x:c r="Y30" s="35" t="str">
        <x:v>把規範的目的和形式分開看。</x:v>
      </x:c>
      <x:c r="Z30" s="35" t="str">
        <x:v>比較地形、風浪、泥沙與停靠條件</x:v>
      </x:c>
      <x:c r="AA30" s="35" t="str">
        <x:v>季風影響航程與風險，但不保證安全</x:v>
      </x:c>
      <x:c r="AB30" s="35" t="str">
        <x:v>A</x:v>
      </x:c>
      <x:c r="AC30" s="35" t="str">
        <x:v>這是判斷「規範變遷」時要使用的依據。規範服務共同生活，能因新需求修正；改變做法不等於放棄互助價值。</x:v>
      </x:c>
      <x:c r="AD30" s="35" t="str">
        <x:v>這是「海岸變遷」的重點；本題要判斷的是「規範變遷」，兩者不能互相代替。</x:v>
      </x:c>
      <x:c r="AE30" s="35" t="str">
        <x:v>這項知識屬於「移民與季風」，無法支持本題的「規範變遷」判斷。</x:v>
      </x:c>
      <x:c r="AF30" s="35" t="str">
        <x:v>遇到新規定時，比較改前改後處理的問題。</x:v>
      </x:c>
    </x:row>
    <x:row r="31" ht="76" customHeight="1">
      <x:c r="A31" s="35" t="str">
        <x:v>5A-U2</x:v>
      </x:c>
      <x:c r="B31" s="35" t="str">
        <x:v>五上</x:v>
      </x:c>
      <x:c r="C31" s="35" t="n">
        <x:v>2</x:v>
      </x:c>
      <x:c r="D31" s="35" t="str">
        <x:v>島嶼上的生活樣貌</x:v>
      </x:c>
      <x:c r="E31" s="35" t="str">
        <x:v>5A-U2-O4</x:v>
      </x:c>
      <x:c r="F31" s="35" t="n">
        <x:v>12</x:v>
      </x:c>
      <x:c r="G31" s="35" t="str">
        <x:v>迷思修正</x:v>
      </x:c>
      <x:c r="H31" s="35" t="str">
        <x:v>有人說：「規範制定後永遠不能修改」哪個答案能改正這個說法？</x:v>
      </x:c>
      <x:c r="I31" s="35" t="str">
        <x:v>規範可調整，互助目的仍保留</x:v>
      </x:c>
      <x:c r="J31" s="35" t="str">
        <x:v>臺灣是遷徙與交流的中繼點</x:v>
      </x:c>
      <x:c r="K31" s="35" t="str">
        <x:v>選能看見臺灣、鄰國與航線的區域圖</x:v>
      </x:c>
      <x:c r="L31" s="35" t="str">
        <x:v>板塊交界造成多山與地震</x:v>
      </x:c>
      <x:c r="M31" s="35" t="str">
        <x:v>A</x:v>
      </x:c>
      <x:c r="N31" s="35" t="str">
        <x:v>規範可調整，互助目的仍保留</x:v>
      </x:c>
      <x:c r="O31" s="35" t="str">
        <x:v>把規範的目的和形式分開看。</x:v>
      </x:c>
      <x:c r="P31" s="35" t="str">
        <x:v>迷思「規範制定後永遠不能修改」的問題，是它沒有處理「博愛座標示與使用方式隨社會討論調整」提供的關鍵條件。規範服務共同生活，能因新需求修正；改變做法不等於放棄互助價值。</x:v>
      </x:c>
      <x:c r="Q31" s="35" t="str">
        <x:v>判斷精準。「規範可調整，互助目的仍保留」直接回應規範變遷，推論沒有超過資料。</x:v>
      </x:c>
      <x:c r="R31" s="35" t="str">
        <x:v>「臺灣是遷徙與交流的中繼點」是「位置與交流」的重點，但不能回答本題的「規範變遷」。請回看：把規範的目的和形式分開看。</x:v>
      </x:c>
      <x:c r="S31" s="35" t="str">
        <x:v>「選能看見臺灣、鄰國與航線的區域圖」是「地圖尺度」的重點，但不能回答本題的「規範變遷」。請回看：把規範的目的和形式分開看。</x:v>
      </x:c>
      <x:c r="T31" s="35" t="str">
        <x:v>「板塊交界造成多山與地震」是「板塊與地形」的重點，但不能回答本題的「規範變遷」。請回看：把規範的目的和形式分開看。</x:v>
      </x:c>
      <x:c r="U31" s="35" t="str">
        <x:v>判斷正確</x:v>
      </x:c>
      <x:c r="V31" s="35" t="str">
        <x:v>把意見當證據</x:v>
      </x:c>
      <x:c r="W31" s="35" t="str">
        <x:v>位置錯置</x:v>
      </x:c>
      <x:c r="X31" s="35" t="str">
        <x:v>忽略時空脈絡</x:v>
      </x:c>
      <x:c r="Y31" s="35" t="str">
        <x:v>把規範的目的和形式分開看。</x:v>
      </x:c>
      <x:c r="Z31" s="35" t="str">
        <x:v>核對單位、時間、尺度與原始數值</x:v>
      </x:c>
      <x:c r="AA31" s="35" t="str">
        <x:v>風險分配與居民參與需要公平</x:v>
      </x:c>
      <x:c r="AB31" s="35" t="str">
        <x:v>A</x:v>
      </x:c>
      <x:c r="AC31" s="35" t="str">
        <x:v>這是判斷「規範變遷」時要使用的依據。規範服務共同生活，能因新需求修正；改變做法不等於放棄互助價值。</x:v>
      </x:c>
      <x:c r="AD31" s="35" t="str">
        <x:v>這是「圖表判讀」的重點；本題要判斷的是「規範變遷」，兩者不能互相代替。</x:v>
      </x:c>
      <x:c r="AE31" s="35" t="str">
        <x:v>這項知識屬於「環境正義」，無法支持本題的「規範變遷」判斷。</x:v>
      </x:c>
      <x:c r="AF31" s="35" t="str">
        <x:v>遇到新規定時，比較改前改後處理的問題。</x:v>
      </x:c>
    </x:row>
    <x:row r="32" ht="76" customHeight="1">
      <x:c r="A32" s="35" t="str">
        <x:v>5A-U2</x:v>
      </x:c>
      <x:c r="B32" s="35" t="str">
        <x:v>五上</x:v>
      </x:c>
      <x:c r="C32" s="35" t="n">
        <x:v>2</x:v>
      </x:c>
      <x:c r="D32" s="35" t="str">
        <x:v>島嶼上的生活樣貌</x:v>
      </x:c>
      <x:c r="E32" s="35" t="str">
        <x:v>5A-U2-O5</x:v>
      </x:c>
      <x:c r="F32" s="35" t="n">
        <x:v>13</x:v>
      </x:c>
      <x:c r="G32" s="35" t="str">
        <x:v>情境判斷</x:v>
      </x:c>
      <x:c r="H32" s="35" t="str">
        <x:v>傳統狩獵文化與野生動物保育規定發生衝突。哪個答案最合理？</x:v>
      </x:c>
      <x:c r="I32" s="35" t="str">
        <x:v>相關各方應依資料協商文化與保育</x:v>
      </x:c>
      <x:c r="J32" s="35" t="str">
        <x:v>先認定一方全錯並拒絕對話</x:v>
      </x:c>
      <x:c r="K32" s="35" t="str">
        <x:v>完全不記錄獵物數量與季節</x:v>
      </x:c>
      <x:c r="L32" s="35" t="str">
        <x:v>查明進口木材是否來自永續來源</x:v>
      </x:c>
      <x:c r="M32" s="35" t="str">
        <x:v>A</x:v>
      </x:c>
      <x:c r="N32" s="35" t="str">
        <x:v>相關各方應依資料協商文化與保育</x:v>
      </x:c>
      <x:c r="O32" s="35" t="str">
        <x:v>先列各方重視的價值與共同可查的資料。</x:v>
      </x:c>
      <x:c r="P32" s="35" t="str">
        <x:v>衝突同時涉及文化權利與生態永續，相關者參與和可查證資料都是公平決策的基礎。</x:v>
      </x:c>
      <x:c r="Q32" s="35" t="str">
        <x:v>你的判讀可被查證：相關各方應依資料協商文化與保育。這正是權利權衡要比較的核心。</x:v>
      </x:c>
      <x:c r="R32" s="35" t="str">
        <x:v>焦點放錯了。請回看：先列各方重視的價值與共同可查的資料。</x:v>
      </x:c>
      <x:c r="S32" s="35" t="str">
        <x:v>這項推論缺少證據。請確認：先列各方重視的價值與共同可查的資料。</x:v>
      </x:c>
      <x:c r="T32" s="35" t="str">
        <x:v>「查明進口木材是否來自永續來源」是「森林供應鏈」的重點，但不能回答本題的「權利權衡」。請回看：先列各方重視的價值與共同可查的資料。</x:v>
      </x:c>
      <x:c r="U32" s="35" t="str">
        <x:v>判斷正確</x:v>
      </x:c>
      <x:c r="V32" s="35" t="str">
        <x:v>忽略利害關係人</x:v>
      </x:c>
      <x:c r="W32" s="35" t="str">
        <x:v>把意見當證據</x:v>
      </x:c>
      <x:c r="X32" s="35" t="str">
        <x:v>位置錯置</x:v>
      </x:c>
      <x:c r="Y32" s="35" t="str">
        <x:v>先列各方重視的價值與共同可查的資料。</x:v>
      </x:c>
      <x:c r="Z32" s="35" t="str">
        <x:v>比較對象、程度、證據與改善方法</x:v>
      </x:c>
      <x:c r="AA32" s="35" t="str">
        <x:v>聚焦特定海岸、時間與不同觀點</x:v>
      </x:c>
      <x:c r="AB32" s="35" t="str">
        <x:v>A</x:v>
      </x:c>
      <x:c r="AC32" s="35" t="str">
        <x:v>這是判斷「權利權衡」時要使用的依據。衝突同時涉及文化權利與生態永續，相關者參與和可查證資料都是公平決策的基礎。</x:v>
      </x:c>
      <x:c r="AD32" s="35" t="str">
        <x:v>這是「分析權衡」的重點；本題要判斷的是「權利權衡」，兩者不能互相代替。</x:v>
      </x:c>
      <x:c r="AE32" s="35" t="str">
        <x:v>這項知識屬於「問題形成」，無法支持本題的「權利權衡」判斷。</x:v>
      </x:c>
      <x:c r="AF32" s="35" t="str">
        <x:v>校園環境爭議也應讓使用者與生態觀點參與。</x:v>
      </x:c>
    </x:row>
    <x:row r="33" ht="76" customHeight="1">
      <x:c r="A33" s="35" t="str">
        <x:v>5A-U2</x:v>
      </x:c>
      <x:c r="B33" s="35" t="str">
        <x:v>五上</x:v>
      </x:c>
      <x:c r="C33" s="35" t="n">
        <x:v>2</x:v>
      </x:c>
      <x:c r="D33" s="35" t="str">
        <x:v>島嶼上的生活樣貌</x:v>
      </x:c>
      <x:c r="E33" s="35" t="str">
        <x:v>5A-U2-O5</x:v>
      </x:c>
      <x:c r="F33" s="35" t="n">
        <x:v>14</x:v>
      </x:c>
      <x:c r="G33" s="35" t="str">
        <x:v>證據判讀</x:v>
      </x:c>
      <x:c r="H33" s="35" t="str">
        <x:v>哪項資料最能支持「相關各方應依資料協商文化與保育」？</x:v>
      </x:c>
      <x:c r="I33" s="35" t="str">
        <x:v>和題目直接有關的資料</x:v>
      </x:c>
      <x:c r="J33" s="35" t="str">
        <x:v>依能源補充性與環境特性分類</x:v>
      </x:c>
      <x:c r="K33" s="35" t="str">
        <x:v>依地理條件發展能源並評估影響</x:v>
      </x:c>
      <x:c r="L33" s="35" t="str">
        <x:v>用共同指標比較各能源的代價</x:v>
      </x:c>
      <x:c r="M33" s="35" t="str">
        <x:v>A</x:v>
      </x:c>
      <x:c r="N33" s="35" t="str">
        <x:v>和題目直接有關的資料</x:v>
      </x:c>
      <x:c r="O33" s="35" t="str">
        <x:v>先列各方重視的價值與共同可查的資料。</x:v>
      </x:c>
      <x:c r="P33" s="35" t="str">
        <x:v>這題檢查的是證據能否直接支持「讓族人、保育專家與政府依資料協商兼顧文化和生態的規則」，不是文字長短或票數。衝突同時涉及文化權利與生態永續，相關者參與和可查證資料都是公平決策的基礎。</x:v>
      </x:c>
      <x:c r="Q33" s="35" t="str">
        <x:v>判斷精準。「和題目直接有關的資料」直接回應權利權衡，推論沒有超過資料。</x:v>
      </x:c>
      <x:c r="R33" s="35" t="str">
        <x:v>「依能源補充性與環境特性分類」是「能源分類」的重點，但不能回答本題的「權利權衡」。請回看：先列各方重視的價值與共同可查的資料。</x:v>
      </x:c>
      <x:c r="S33" s="35" t="str">
        <x:v>「依地理條件發展能源並評估影響」是「地理配對」的重點，但不能回答本題的「權利權衡」。請回看：先列各方重視的價值與共同可查的資料。</x:v>
      </x:c>
      <x:c r="T33" s="35" t="str">
        <x:v>「用共同指標比較各能源的代價」是「能源代價」的重點，但不能回答本題的「權利權衡」。請回看：先列各方重視的價值與共同可查的資料。</x:v>
      </x:c>
      <x:c r="U33" s="35" t="str">
        <x:v>判斷正確</x:v>
      </x:c>
      <x:c r="V33" s="35" t="str">
        <x:v>把意見當證據</x:v>
      </x:c>
      <x:c r="W33" s="35" t="str">
        <x:v>位置錯置</x:v>
      </x:c>
      <x:c r="X33" s="35" t="str">
        <x:v>忽略時空脈絡</x:v>
      </x:c>
      <x:c r="Y33" s="35" t="str">
        <x:v>先列各方重視的價值與共同可查的資料。</x:v>
      </x:c>
      <x:c r="Z33" s="35" t="str">
        <x:v>泥沙堆積使船難進出，港口轉移</x:v>
      </x:c>
      <x:c r="AA33" s="35" t="str">
        <x:v>比較具體貢獻、限制與在地回應</x:v>
      </x:c>
      <x:c r="AB33" s="35" t="str">
        <x:v>A</x:v>
      </x:c>
      <x:c r="AC33" s="35" t="str">
        <x:v>這是判斷「權利權衡」時要使用的依據。衝突同時涉及文化權利與生態永續，相關者參與和可查證資料都是公平決策的基礎。</x:v>
      </x:c>
      <x:c r="AD33" s="35" t="str">
        <x:v>這是「潟湖與港口」的重點；本題要判斷的是「權利權衡」，兩者不能互相代替。</x:v>
      </x:c>
      <x:c r="AE33" s="35" t="str">
        <x:v>這項知識屬於「人物與交流」，無法支持本題的「權利權衡」判斷。</x:v>
      </x:c>
      <x:c r="AF33" s="35" t="str">
        <x:v>校園環境爭議也應讓使用者與生態觀點參與。</x:v>
      </x:c>
    </x:row>
    <x:row r="34" ht="76" customHeight="1">
      <x:c r="A34" s="35" t="str">
        <x:v>5A-U2</x:v>
      </x:c>
      <x:c r="B34" s="35" t="str">
        <x:v>五上</x:v>
      </x:c>
      <x:c r="C34" s="35" t="n">
        <x:v>2</x:v>
      </x:c>
      <x:c r="D34" s="35" t="str">
        <x:v>島嶼上的生活樣貌</x:v>
      </x:c>
      <x:c r="E34" s="35" t="str">
        <x:v>5A-U2-O5</x:v>
      </x:c>
      <x:c r="F34" s="35" t="n">
        <x:v>15</x:v>
      </x:c>
      <x:c r="G34" s="35" t="str">
        <x:v>迷思修正</x:v>
      </x:c>
      <x:c r="H34" s="35" t="str">
        <x:v>有人說：「先認定一方全錯並拒絕對話」哪個答案能改正這個說法？</x:v>
      </x:c>
      <x:c r="I34" s="35" t="str">
        <x:v>相關各方應依資料協商文化與保育</x:v>
      </x:c>
      <x:c r="J34" s="35" t="str">
        <x:v>長期追蹤保存、參與、就業與環境</x:v>
      </x:c>
      <x:c r="K34" s="35" t="str">
        <x:v>泥沙堆積使船難進出，港口轉移</x:v>
      </x:c>
      <x:c r="L34" s="35" t="str">
        <x:v>臺灣鄰近航路，利於貿易競爭</x:v>
      </x:c>
      <x:c r="M34" s="35" t="str">
        <x:v>A</x:v>
      </x:c>
      <x:c r="N34" s="35" t="str">
        <x:v>相關各方應依資料協商文化與保育</x:v>
      </x:c>
      <x:c r="O34" s="35" t="str">
        <x:v>先列各方重視的價值與共同可查的資料。</x:v>
      </x:c>
      <x:c r="P34" s="35" t="str">
        <x:v>迷思「先認定一方全錯並拒絕對話」的問題，是它沒有處理「傳統狩獵文化與野生動物保育規定發生衝突」提供的關鍵條件。衝突同時涉及文化權利與生態永續，相關者參與和可查證資料都是公平決策的基礎。</x:v>
      </x:c>
      <x:c r="Q34" s="35" t="str">
        <x:v>這項選擇成立：相關各方應依資料協商文化與保育。它抓住權利權衡的關鍵條件。</x:v>
      </x:c>
      <x:c r="R34" s="35" t="str">
        <x:v>「長期追蹤保存、參與、就業與環境」是「地方轉型」的重點，但不能回答本題的「權利權衡」。請回看：先列各方重視的價值與共同可查的資料。</x:v>
      </x:c>
      <x:c r="S34" s="35" t="str">
        <x:v>「泥沙堆積使船難進出，港口轉移」是「潟湖與港口」的重點，但不能回答本題的「權利權衡」。請回看：先列各方重視的價值與共同可查的資料。</x:v>
      </x:c>
      <x:c r="T34" s="35" t="str">
        <x:v>「臺灣鄰近航路，利於貿易競爭」是「航海動機」的重點，但不能回答本題的「權利權衡」。請回看：先列各方重視的價值與共同可查的資料。</x:v>
      </x:c>
      <x:c r="U34" s="35" t="str">
        <x:v>判斷正確</x:v>
      </x:c>
      <x:c r="V34" s="35" t="str">
        <x:v>位置錯置</x:v>
      </x:c>
      <x:c r="W34" s="35" t="str">
        <x:v>忽略時空脈絡</x:v>
      </x:c>
      <x:c r="X34" s="35" t="str">
        <x:v>過度概括</x:v>
      </x:c>
      <x:c r="Y34" s="35" t="str">
        <x:v>先列各方重視的價值與共同可查的資料。</x:v>
      </x:c>
      <x:c r="Z34" s="35" t="str">
        <x:v>港市帶動文化，但各族群影響不同</x:v>
      </x:c>
      <x:c r="AA34" s="35" t="str">
        <x:v>訪談多方並搭配噪音與發電資料</x:v>
      </x:c>
      <x:c r="AB34" s="35" t="str">
        <x:v>A</x:v>
      </x:c>
      <x:c r="AC34" s="35" t="str">
        <x:v>這是判斷「權利權衡」時要使用的依據。衝突同時涉及文化權利與生態永續，相關者參與和可查證資料都是公平決策的基礎。</x:v>
      </x:c>
      <x:c r="AD34" s="35" t="str">
        <x:v>這是「港市與文化」的重點；本題要判斷的是「權利權衡」，兩者不能互相代替。</x:v>
      </x:c>
      <x:c r="AE34" s="35" t="str">
        <x:v>這項知識屬於「多元觀點」，無法支持本題的「權利權衡」判斷。</x:v>
      </x:c>
      <x:c r="AF34" s="35" t="str">
        <x:v>校園環境爭議也應讓使用者與生態觀點參與。</x:v>
      </x:c>
    </x:row>
    <x:row r="35" ht="76" customHeight="1">
      <x:c r="A35" s="34" t="str">
        <x:v>5A-U3</x:v>
      </x:c>
      <x:c r="B35" s="34" t="str">
        <x:v>五上</x:v>
      </x:c>
      <x:c r="C35" s="34" t="n">
        <x:v>3</x:v>
      </x:c>
      <x:c r="D35" s="34" t="str">
        <x:v>臺灣的物產資源</x:v>
      </x:c>
      <x:c r="E35" s="34" t="str">
        <x:v>5A-U3-O1</x:v>
      </x:c>
      <x:c r="F35" s="34" t="n">
        <x:v>1</x:v>
      </x:c>
      <x:c r="G35" s="34" t="str">
        <x:v>情境判斷</x:v>
      </x:c>
      <x:c r="H35" s="34" t="str">
        <x:v>山坡農地長期單一種植，豪雨後土壤流失。哪個答案最合理？</x:v>
      </x:c>
      <x:c r="I35" s="34" t="str">
        <x:v>保留植被並依坡度調整耕作</x:v>
      </x:c>
      <x:c r="J35" s="34" t="str">
        <x:v>清除樹木讓機械快速通過</x:v>
      </x:c>
      <x:c r="K35" s="34" t="str">
        <x:v>把坡地挖得更陡利於排水</x:v>
      </x:c>
      <x:c r="L35" s="34" t="str">
        <x:v>風險分配與居民參與需要公平</x:v>
      </x:c>
      <x:c r="M35" s="34" t="str">
        <x:v>A</x:v>
      </x:c>
      <x:c r="N35" s="34" t="str">
        <x:v>保留植被並依坡度調整耕作</x:v>
      </x:c>
      <x:c r="O35" s="34" t="str">
        <x:v>方案要同時回應生產與土壤流失。</x:v>
      </x:c>
      <x:c r="P35" s="34" t="str">
        <x:v>多層植被與覆蓋能降低沖蝕並維持產出；清林、挖陡或只靠藥劑會忽略水土風險。</x:v>
      </x:c>
      <x:c r="Q35" s="34" t="str">
        <x:v>判斷精準。「保留植被並依坡度調整耕作」直接回應永續農業，推論沒有超過資料。</x:v>
      </x:c>
      <x:c r="R35" s="34" t="str">
        <x:v>這項推論缺少證據。請確認：方案要同時回應生產與土壤流失。</x:v>
      </x:c>
      <x:c r="S35" s="34" t="str">
        <x:v>選項和題意關係較弱。提示：方案要同時回應生產與土壤流失。</x:v>
      </x:c>
      <x:c r="T35" s="34" t="str">
        <x:v>「風險分配與居民參與需要公平」是「環境正義」的重點，但不能回答本題的「永續農業」。請回看：方案要同時回應生產與土壤流失。</x:v>
      </x:c>
      <x:c r="U35" s="34" t="str">
        <x:v>判斷正確</x:v>
      </x:c>
      <x:c r="V35" s="34" t="str">
        <x:v>忽略時空脈絡</x:v>
      </x:c>
      <x:c r="W35" s="34" t="str">
        <x:v>過度概括</x:v>
      </x:c>
      <x:c r="X35" s="34" t="str">
        <x:v>單因推論</x:v>
      </x:c>
      <x:c r="Y35" s="34" t="str">
        <x:v>方案要同時回應生產與土壤流失。</x:v>
      </x:c>
      <x:c r="Z35" s="34" t="str">
        <x:v>商品與港口帶動北部市鎮發展</x:v>
      </x:c>
      <x:c r="AA35" s="34" t="str">
        <x:v>設基準與措施，四週後同指標比較</x:v>
      </x:c>
      <x:c r="AB35" s="34" t="str">
        <x:v>A</x:v>
      </x:c>
      <x:c r="AC35" s="34" t="str">
        <x:v>這是判斷「永續農業」時要使用的依據。多層植被與覆蓋能降低沖蝕並維持產出；清林、挖陡或只靠藥劑會忽略水土風險。</x:v>
      </x:c>
      <x:c r="AD35" s="34" t="str">
        <x:v>這是「經濟北移」的重點；本題要判斷的是「永續農業」，兩者不能互相代替。</x:v>
      </x:c>
      <x:c r="AE35" s="34" t="str">
        <x:v>這項知識屬於「行動評估」，無法支持本題的「永續農業」判斷。</x:v>
      </x:c>
      <x:c r="AF35" s="34" t="str">
        <x:v>校園菜園保留覆蓋並觀察雨後逕流。</x:v>
      </x:c>
    </x:row>
    <x:row r="36" ht="76" customHeight="1">
      <x:c r="A36" s="34" t="str">
        <x:v>5A-U3</x:v>
      </x:c>
      <x:c r="B36" s="34" t="str">
        <x:v>五上</x:v>
      </x:c>
      <x:c r="C36" s="34" t="n">
        <x:v>3</x:v>
      </x:c>
      <x:c r="D36" s="34" t="str">
        <x:v>臺灣的物產資源</x:v>
      </x:c>
      <x:c r="E36" s="34" t="str">
        <x:v>5A-U3-O1</x:v>
      </x:c>
      <x:c r="F36" s="34" t="n">
        <x:v>2</x:v>
      </x:c>
      <x:c r="G36" s="34" t="str">
        <x:v>證據判讀</x:v>
      </x:c>
      <x:c r="H36" s="34" t="str">
        <x:v>哪項資料最能支持「保留植被並依坡度調整耕作」？</x:v>
      </x:c>
      <x:c r="I36" s="34" t="str">
        <x:v>和題目直接有關的資料</x:v>
      </x:c>
      <x:c r="J36" s="34" t="str">
        <x:v>南荷北西，後由鄭成功驅逐荷蘭</x:v>
      </x:c>
      <x:c r="K36" s="34" t="str">
        <x:v>比較雙方立場、目的與證據</x:v>
      </x:c>
      <x:c r="L36" s="34" t="str">
        <x:v>貿易增加，也改變土地與族群關係</x:v>
      </x:c>
      <x:c r="M36" s="34" t="str">
        <x:v>A</x:v>
      </x:c>
      <x:c r="N36" s="34" t="str">
        <x:v>和題目直接有關的資料</x:v>
      </x:c>
      <x:c r="O36" s="34" t="str">
        <x:v>方案要同時回應生產與土壤流失。</x:v>
      </x:c>
      <x:c r="P36" s="34" t="str">
        <x:v>這題檢查的是證據能否直接支持「採混農林業或維持地表覆蓋，並依坡度調整耕作」，不是文字長短或票數。多層植被與覆蓋能降低沖蝕並維持產出；清林、挖陡或只靠藥劑會忽略水土風險。</x:v>
      </x:c>
      <x:c r="Q36" s="34" t="str">
        <x:v>這項選擇成立：和題目直接有關的資料。它抓住永續農業的關鍵條件。</x:v>
      </x:c>
      <x:c r="R36" s="34" t="str">
        <x:v>「南荷北西，後由鄭成功驅逐荷蘭」是「時序空間」的重點，但不能回答本題的「永續農業」。請回看：方案要同時回應生產與土壤流失。</x:v>
      </x:c>
      <x:c r="S36" s="34" t="str">
        <x:v>「比較雙方立場、目的與證據」是「多元觀點」的重點，但不能回答本題的「永續農業」。請回看：方案要同時回應生產與土壤流失。</x:v>
      </x:c>
      <x:c r="T36" s="34" t="str">
        <x:v>「貿易增加，也改變土地與族群關係」是「貿易影響」的重點，但不能回答本題的「永續農業」。請回看：方案要同時回應生產與土壤流失。</x:v>
      </x:c>
      <x:c r="U36" s="34" t="str">
        <x:v>判斷正確</x:v>
      </x:c>
      <x:c r="V36" s="34" t="str">
        <x:v>過度概括</x:v>
      </x:c>
      <x:c r="W36" s="34" t="str">
        <x:v>單因推論</x:v>
      </x:c>
      <x:c r="X36" s="34" t="str">
        <x:v>證據不足</x:v>
      </x:c>
      <x:c r="Y36" s="34" t="str">
        <x:v>方案要同時回應生產與土壤流失。</x:v>
      </x:c>
      <x:c r="Z36" s="34" t="str">
        <x:v>比較設置前後的發電、用電與環境</x:v>
      </x:c>
      <x:c r="AA36" s="34" t="str">
        <x:v>聚焦特定海岸、時間與不同觀點</x:v>
      </x:c>
      <x:c r="AB36" s="34" t="str">
        <x:v>A</x:v>
      </x:c>
      <x:c r="AC36" s="34" t="str">
        <x:v>這是判斷「永續農業」時要使用的依據。多層植被與覆蓋能降低沖蝕並維持產出；清林、挖陡或只靠藥劑會忽略水土風險。</x:v>
      </x:c>
      <x:c r="AD36" s="34" t="str">
        <x:v>這是「能源提問」的重點；本題要判斷的是「永續農業」，兩者不能互相代替。</x:v>
      </x:c>
      <x:c r="AE36" s="34" t="str">
        <x:v>這項知識屬於「問題形成」，無法支持本題的「永續農業」判斷。</x:v>
      </x:c>
      <x:c r="AF36" s="34" t="str">
        <x:v>校園菜園保留覆蓋並觀察雨後逕流。</x:v>
      </x:c>
    </x:row>
    <x:row r="37" ht="76" customHeight="1">
      <x:c r="A37" s="34" t="str">
        <x:v>5A-U3</x:v>
      </x:c>
      <x:c r="B37" s="34" t="str">
        <x:v>五上</x:v>
      </x:c>
      <x:c r="C37" s="34" t="n">
        <x:v>3</x:v>
      </x:c>
      <x:c r="D37" s="34" t="str">
        <x:v>臺灣的物產資源</x:v>
      </x:c>
      <x:c r="E37" s="34" t="str">
        <x:v>5A-U3-O1</x:v>
      </x:c>
      <x:c r="F37" s="34" t="n">
        <x:v>3</x:v>
      </x:c>
      <x:c r="G37" s="34" t="str">
        <x:v>迷思修正</x:v>
      </x:c>
      <x:c r="H37" s="34" t="str">
        <x:v>有人說：「清除樹木讓機械快速通過」哪個答案能改正這個說法？</x:v>
      </x:c>
      <x:c r="I37" s="34" t="str">
        <x:v>保留植被並依坡度調整耕作</x:v>
      </x:c>
      <x:c r="J37" s="34" t="str">
        <x:v>停止交易並改用官方查證與付款</x:v>
      </x:c>
      <x:c r="K37" s="34" t="str">
        <x:v>保存證據，再循正式管道申訴</x:v>
      </x:c>
      <x:c r="L37" s="34" t="str">
        <x:v>查合法性，不投入無法承受的資金</x:v>
      </x:c>
      <x:c r="M37" s="34" t="str">
        <x:v>A</x:v>
      </x:c>
      <x:c r="N37" s="34" t="str">
        <x:v>保留植被並依坡度調整耕作</x:v>
      </x:c>
      <x:c r="O37" s="34" t="str">
        <x:v>方案要同時回應生產與土壤流失。</x:v>
      </x:c>
      <x:c r="P37" s="34" t="str">
        <x:v>迷思「清除樹木讓機械快速通過」的問題，是它沒有處理「山坡農地長期單一種植，豪雨後土壤流失」提供的關鍵條件。多層植被與覆蓋能降低沖蝕並維持產出；清林、挖陡或只靠藥劑會忽略水土風險。</x:v>
      </x:c>
      <x:c r="Q37" s="34" t="str">
        <x:v>證據吻合。選項「保留植被並依坡度調整耕作」能把永續農業的線索合理連起來。</x:v>
      </x:c>
      <x:c r="R37" s="34" t="str">
        <x:v>「停止交易並改用官方查證與付款」是「消費安全」的重點，但不能回答本題的「永續農業」。請回看：方案要同時回應生產與土壤流失。</x:v>
      </x:c>
      <x:c r="S37" s="34" t="str">
        <x:v>「保存證據，再循正式管道申訴」是「消費權益」的重點，但不能回答本題的「永續農業」。請回看：方案要同時回應生產與土壤流失。</x:v>
      </x:c>
      <x:c r="T37" s="34" t="str">
        <x:v>「查合法性，不投入無法承受的資金」是「理財風險」的重點，但不能回答本題的「永續農業」。請回看：方案要同時回應生產與土壤流失。</x:v>
      </x:c>
      <x:c r="U37" s="34" t="str">
        <x:v>判斷正確</x:v>
      </x:c>
      <x:c r="V37" s="34" t="str">
        <x:v>單因推論</x:v>
      </x:c>
      <x:c r="W37" s="34" t="str">
        <x:v>證據不足</x:v>
      </x:c>
      <x:c r="X37" s="34" t="str">
        <x:v>忽略利害關係人</x:v>
      </x:c>
      <x:c r="Y37" s="34" t="str">
        <x:v>方案要同時回應生產與土壤流失。</x:v>
      </x:c>
      <x:c r="Z37" s="34" t="str">
        <x:v>環境、季節與歷史共同影響生活</x:v>
      </x:c>
      <x:c r="AA37" s="34" t="str">
        <x:v>分析資源、語言、組織與治理</x:v>
      </x:c>
      <x:c r="AB37" s="34" t="str">
        <x:v>A</x:v>
      </x:c>
      <x:c r="AC37" s="34" t="str">
        <x:v>這是判斷「永續農業」時要使用的依據。多層植被與覆蓋能降低沖蝕並維持產出；清林、挖陡或只靠藥劑會忽略水土風險。</x:v>
      </x:c>
      <x:c r="AD37" s="34" t="str">
        <x:v>這是「環境與生活」的重點；本題要判斷的是「永續農業」，兩者不能互相代替。</x:v>
      </x:c>
      <x:c r="AE37" s="34" t="str">
        <x:v>這項知識屬於「族群衝突」，無法支持本題的「永續農業」判斷。</x:v>
      </x:c>
      <x:c r="AF37" s="34" t="str">
        <x:v>校園菜園保留覆蓋並觀察雨後逕流。</x:v>
      </x:c>
    </x:row>
    <x:row r="38" ht="76" customHeight="1">
      <x:c r="A38" s="34" t="str">
        <x:v>5A-U3</x:v>
      </x:c>
      <x:c r="B38" s="34" t="str">
        <x:v>五上</x:v>
      </x:c>
      <x:c r="C38" s="34" t="n">
        <x:v>3</x:v>
      </x:c>
      <x:c r="D38" s="34" t="str">
        <x:v>臺灣的物產資源</x:v>
      </x:c>
      <x:c r="E38" s="34" t="str">
        <x:v>5A-U3-O2</x:v>
      </x:c>
      <x:c r="F38" s="34" t="n">
        <x:v>4</x:v>
      </x:c>
      <x:c r="G38" s="34" t="str">
        <x:v>情境判斷</x:v>
      </x:c>
      <x:c r="H38" s="34" t="str">
        <x:v>大型畜牧場供應穩定，但社區擔心污染與傳染病。哪個答案最合理？</x:v>
      </x:c>
      <x:c r="I38" s="34" t="str">
        <x:v>比較供應、動物、傳染病與廢水管理</x:v>
      </x:c>
      <x:c r="J38" s="34" t="str">
        <x:v>只看肉品價格就決定</x:v>
      </x:c>
      <x:c r="K38" s="34" t="str">
        <x:v>有疑慮就否定所有畜牧</x:v>
      </x:c>
      <x:c r="L38" s="34" t="str">
        <x:v>用共同目標與相同標準調整方案</x:v>
      </x:c>
      <x:c r="M38" s="34" t="str">
        <x:v>A</x:v>
      </x:c>
      <x:c r="N38" s="34" t="str">
        <x:v>比較供應、動物、傳染病與廢水管理</x:v>
      </x:c>
      <x:c r="O38" s="34" t="str">
        <x:v>把經濟、社會與環境三面向都列出。</x:v>
      </x:c>
      <x:c r="P38" s="34" t="str">
        <x:v>畜牧涉及經濟、動物、健康與環境多重結果，不能用價格或單一立場代替完整評估。</x:v>
      </x:c>
      <x:c r="Q38" s="34" t="str">
        <x:v>這項選擇成立：比較供應、動物、傳染病與廢水管理。它抓住畜牧權衡的關鍵條件。</x:v>
      </x:c>
      <x:c r="R38" s="34" t="str">
        <x:v>選項和題意關係較弱。提示：把經濟、社會與環境三面向都列出。</x:v>
      </x:c>
      <x:c r="S38" s="34" t="str">
        <x:v>這裡混淆了條件與結論。提示：把經濟、社會與環境三面向都列出。</x:v>
      </x:c>
      <x:c r="T38" s="34" t="str">
        <x:v>「用共同目標與相同標準調整方案」是「共識與程序」的重點，但不能回答本題的「畜牧權衡」。請回看：把經濟、社會與環境三面向都列出。</x:v>
      </x:c>
      <x:c r="U38" s="34" t="str">
        <x:v>判斷正確</x:v>
      </x:c>
      <x:c r="V38" s="34" t="str">
        <x:v>過度概括</x:v>
      </x:c>
      <x:c r="W38" s="34" t="str">
        <x:v>單因推論</x:v>
      </x:c>
      <x:c r="X38" s="34" t="str">
        <x:v>證據不足</x:v>
      </x:c>
      <x:c r="Y38" s="34" t="str">
        <x:v>把經濟、社會與環境三面向都列出。</x:v>
      </x:c>
      <x:c r="Z38" s="34" t="str">
        <x:v>用共同指標比較各能源的代價</x:v>
      </x:c>
      <x:c r="AA38" s="34" t="str">
        <x:v>環境、季節與歷史共同影響生活</x:v>
      </x:c>
      <x:c r="AB38" s="34" t="str">
        <x:v>A</x:v>
      </x:c>
      <x:c r="AC38" s="34" t="str">
        <x:v>這是判斷「畜牧權衡」時要使用的依據。畜牧涉及經濟、動物、健康與環境多重結果，不能用價格或單一立場代替完整評估。</x:v>
      </x:c>
      <x:c r="AD38" s="34" t="str">
        <x:v>這是「能源代價」的重點；本題要判斷的是「畜牧權衡」，兩者不能互相代替。</x:v>
      </x:c>
      <x:c r="AE38" s="34" t="str">
        <x:v>這項知識屬於「環境與生活」，無法支持本題的「畜牧權衡」判斷。</x:v>
      </x:c>
      <x:c r="AF38" s="34" t="str">
        <x:v>參訪農場時觀察生產量，也看環境管理。</x:v>
      </x:c>
    </x:row>
    <x:row r="39" ht="76" customHeight="1">
      <x:c r="A39" s="34" t="str">
        <x:v>5A-U3</x:v>
      </x:c>
      <x:c r="B39" s="34" t="str">
        <x:v>五上</x:v>
      </x:c>
      <x:c r="C39" s="34" t="n">
        <x:v>3</x:v>
      </x:c>
      <x:c r="D39" s="34" t="str">
        <x:v>臺灣的物產資源</x:v>
      </x:c>
      <x:c r="E39" s="34" t="str">
        <x:v>5A-U3-O2</x:v>
      </x:c>
      <x:c r="F39" s="34" t="n">
        <x:v>5</x:v>
      </x:c>
      <x:c r="G39" s="34" t="str">
        <x:v>證據判讀</x:v>
      </x:c>
      <x:c r="H39" s="34" t="str">
        <x:v>哪項資料最能支持「比較供應、動物、傳染病與廢水管理」？</x:v>
      </x:c>
      <x:c r="I39" s="34" t="str">
        <x:v>和題目直接有關的資料</x:v>
      </x:c>
      <x:c r="J39" s="34" t="str">
        <x:v>合作修水圳，訂分水與維修規則</x:v>
      </x:c>
      <x:c r="K39" s="34" t="str">
        <x:v>生活、機會與政策共同影響移動</x:v>
      </x:c>
      <x:c r="L39" s="34" t="str">
        <x:v>分析資源、語言、組織與治理</x:v>
      </x:c>
      <x:c r="M39" s="34" t="str">
        <x:v>A</x:v>
      </x:c>
      <x:c r="N39" s="34" t="str">
        <x:v>和題目直接有關的資料</x:v>
      </x:c>
      <x:c r="O39" s="34" t="str">
        <x:v>把經濟、社會與環境三面向都列出。</x:v>
      </x:c>
      <x:c r="P39" s="34" t="str">
        <x:v>這題檢查的是證據能否直接支持「同時檢查供應效益、動物福利、疫病防治與廢水處理」，不是文字長短或票數。畜牧涉及經濟、動物、健康與環境多重結果，不能用價格或單一立場代替完整評估。</x:v>
      </x:c>
      <x:c r="Q39" s="34" t="str">
        <x:v>證據吻合。選項「和題目直接有關的資料」能把畜牧權衡的線索合理連起來。</x:v>
      </x:c>
      <x:c r="R39" s="34" t="str">
        <x:v>「合作修水圳，訂分水與維修規則」是「水利開墾」的重點，但不能回答本題的「畜牧權衡」。請回看：把經濟、社會與環境三面向都列出。</x:v>
      </x:c>
      <x:c r="S39" s="34" t="str">
        <x:v>「生活、機會與政策共同影響移動」是「遷移原因」的重點，但不能回答本題的「畜牧權衡」。請回看：把經濟、社會與環境三面向都列出。</x:v>
      </x:c>
      <x:c r="T39" s="34" t="str">
        <x:v>「分析資源、語言、組織與治理」是「族群衝突」的重點，但不能回答本題的「畜牧權衡」。請回看：把經濟、社會與環境三面向都列出。</x:v>
      </x:c>
      <x:c r="U39" s="34" t="str">
        <x:v>判斷正確</x:v>
      </x:c>
      <x:c r="V39" s="34" t="str">
        <x:v>單因推論</x:v>
      </x:c>
      <x:c r="W39" s="34" t="str">
        <x:v>證據不足</x:v>
      </x:c>
      <x:c r="X39" s="34" t="str">
        <x:v>忽略利害關係人</x:v>
      </x:c>
      <x:c r="Y39" s="34" t="str">
        <x:v>把經濟、社會與環境三面向都列出。</x:v>
      </x:c>
      <x:c r="Z39" s="34" t="str">
        <x:v>板塊交界造成多山與地震</x:v>
      </x:c>
      <x:c r="AA39" s="34" t="str">
        <x:v>查紀錄、調方法，再用同指標測量</x:v>
      </x:c>
      <x:c r="AB39" s="34" t="str">
        <x:v>A</x:v>
      </x:c>
      <x:c r="AC39" s="34" t="str">
        <x:v>這是判斷「畜牧權衡」時要使用的依據。畜牧涉及經濟、動物、健康與環境多重結果，不能用價格或單一立場代替完整評估。</x:v>
      </x:c>
      <x:c r="AD39" s="34" t="str">
        <x:v>這是「板塊與地形」的重點；本題要判斷的是「畜牧權衡」，兩者不能互相代替。</x:v>
      </x:c>
      <x:c r="AE39" s="34" t="str">
        <x:v>這項知識屬於「行動省思」，無法支持本題的「畜牧權衡」判斷。</x:v>
      </x:c>
      <x:c r="AF39" s="34" t="str">
        <x:v>參訪農場時觀察生產量，也看環境管理。</x:v>
      </x:c>
    </x:row>
    <x:row r="40" ht="76" customHeight="1">
      <x:c r="A40" s="34" t="str">
        <x:v>5A-U3</x:v>
      </x:c>
      <x:c r="B40" s="34" t="str">
        <x:v>五上</x:v>
      </x:c>
      <x:c r="C40" s="34" t="n">
        <x:v>3</x:v>
      </x:c>
      <x:c r="D40" s="34" t="str">
        <x:v>臺灣的物產資源</x:v>
      </x:c>
      <x:c r="E40" s="34" t="str">
        <x:v>5A-U3-O2</x:v>
      </x:c>
      <x:c r="F40" s="34" t="n">
        <x:v>6</x:v>
      </x:c>
      <x:c r="G40" s="34" t="str">
        <x:v>迷思修正</x:v>
      </x:c>
      <x:c r="H40" s="34" t="str">
        <x:v>有人說：「只看肉品價格就決定」哪個答案能改正這個說法？</x:v>
      </x:c>
      <x:c r="I40" s="34" t="str">
        <x:v>比較供應、動物、傳染病與廢水管理</x:v>
      </x:c>
      <x:c r="J40" s="34" t="str">
        <x:v>設基準與措施，四週後同指標比較</x:v>
      </x:c>
      <x:c r="K40" s="34" t="str">
        <x:v>臺灣是遷徙與交流的中繼點</x:v>
      </x:c>
      <x:c r="L40" s="34" t="str">
        <x:v>選能看見臺灣、鄰國與航線的區域圖</x:v>
      </x:c>
      <x:c r="M40" s="34" t="str">
        <x:v>A</x:v>
      </x:c>
      <x:c r="N40" s="34" t="str">
        <x:v>比較供應、動物、傳染病與廢水管理</x:v>
      </x:c>
      <x:c r="O40" s="34" t="str">
        <x:v>把經濟、社會與環境三面向都列出。</x:v>
      </x:c>
      <x:c r="P40" s="34" t="str">
        <x:v>迷思「只看肉品價格就決定」的問題，是它沒有處理「大型畜牧場供應穩定，但社區擔心污染與疫病」提供的關鍵條件。畜牧涉及經濟、動物、健康與環境多重結果，不能用價格或單一立場代替完整評估。</x:v>
      </x:c>
      <x:c r="Q40" s="34" t="str">
        <x:v>答對了；「比較供應、動物、傳染病與廢水管理」同時保留了畜牧權衡需要的範圍與限制。</x:v>
      </x:c>
      <x:c r="R40" s="34" t="str">
        <x:v>「設基準與措施，四週後同指標比較」是「行動評估」的重點，但不能回答本題的「畜牧權衡」。請回看：把經濟、社會與環境三面向都列出。</x:v>
      </x:c>
      <x:c r="S40" s="34" t="str">
        <x:v>「臺灣是遷徙與交流的中繼點」是「位置與交流」的重點，但不能回答本題的「畜牧權衡」。請回看：把經濟、社會與環境三面向都列出。</x:v>
      </x:c>
      <x:c r="T40" s="34" t="str">
        <x:v>「選能看見臺灣、鄰國與航線的區域圖」是「地圖尺度」的重點，但不能回答本題的「畜牧權衡」。請回看：把經濟、社會與環境三面向都列出。</x:v>
      </x:c>
      <x:c r="U40" s="34" t="str">
        <x:v>判斷正確</x:v>
      </x:c>
      <x:c r="V40" s="34" t="str">
        <x:v>證據不足</x:v>
      </x:c>
      <x:c r="W40" s="34" t="str">
        <x:v>忽略利害關係人</x:v>
      </x:c>
      <x:c r="X40" s="34" t="str">
        <x:v>把意見當證據</x:v>
      </x:c>
      <x:c r="Y40" s="34" t="str">
        <x:v>把經濟、社會與環境三面向都列出。</x:v>
      </x:c>
      <x:c r="Z40" s="34" t="str">
        <x:v>聚焦特定海岸、時間與不同觀點</x:v>
      </x:c>
      <x:c r="AA40" s="34" t="str">
        <x:v>依地理條件發展能源並評估影響</x:v>
      </x:c>
      <x:c r="AB40" s="34" t="str">
        <x:v>A</x:v>
      </x:c>
      <x:c r="AC40" s="34" t="str">
        <x:v>這是判斷「畜牧權衡」時要使用的依據。畜牧涉及經濟、動物、健康與環境多重結果，不能用價格或單一立場代替完整評估。</x:v>
      </x:c>
      <x:c r="AD40" s="34" t="str">
        <x:v>這是「問題形成」的重點；本題要判斷的是「畜牧權衡」，兩者不能互相代替。</x:v>
      </x:c>
      <x:c r="AE40" s="34" t="str">
        <x:v>這項知識屬於「地理配對」，無法支持本題的「畜牧權衡」判斷。</x:v>
      </x:c>
      <x:c r="AF40" s="34" t="str">
        <x:v>參訪農場時觀察生產量，也看環境管理。</x:v>
      </x:c>
    </x:row>
    <x:row r="41" ht="76" customHeight="1">
      <x:c r="A41" s="34" t="str">
        <x:v>5A-U3</x:v>
      </x:c>
      <x:c r="B41" s="34" t="str">
        <x:v>五上</x:v>
      </x:c>
      <x:c r="C41" s="34" t="n">
        <x:v>3</x:v>
      </x:c>
      <x:c r="D41" s="34" t="str">
        <x:v>臺灣的物產資源</x:v>
      </x:c>
      <x:c r="E41" s="34" t="str">
        <x:v>5A-U3-O3</x:v>
      </x:c>
      <x:c r="F41" s="34" t="n">
        <x:v>7</x:v>
      </x:c>
      <x:c r="G41" s="34" t="str">
        <x:v>情境判斷</x:v>
      </x:c>
      <x:c r="H41" s="34" t="str">
        <x:v>某海域漁獲連年下降，漁民又依賴捕魚收入。哪個答案最合理？</x:v>
      </x:c>
      <x:c r="I41" s="34" t="str">
        <x:v>設禁漁期、尺寸限制並協助轉型</x:v>
      </x:c>
      <x:c r="J41" s="34" t="str">
        <x:v>不限制捕撈，趁魚少前抓完</x:v>
      </x:c>
      <x:c r="K41" s="34" t="str">
        <x:v>永久禁止所有人接近海洋</x:v>
      </x:c>
      <x:c r="L41" s="34" t="str">
        <x:v>規範與法律的形成及強制力不同</x:v>
      </x:c>
      <x:c r="M41" s="34" t="str">
        <x:v>A</x:v>
      </x:c>
      <x:c r="N41" s="34" t="str">
        <x:v>設禁漁期、尺寸限制並協助轉型</x:v>
      </x:c>
      <x:c r="O41" s="34" t="str">
        <x:v>想想魚群如何恢復，漁民如何度過調整期。</x:v>
      </x:c>
      <x:c r="P41" s="34" t="str">
        <x:v>讓魚群有繁殖時間並提供轉型支持，才能同時處理生態與生計；無限制捕撈會惡化枯竭。</x:v>
      </x:c>
      <x:c r="Q41" s="34" t="str">
        <x:v>證據吻合。選項「設禁漁期、尺寸限制並協助轉型」能把永續漁業的線索合理連起來。</x:v>
      </x:c>
      <x:c r="R41" s="34" t="str">
        <x:v>這裡混淆了條件與結論。提示：想想魚群如何恢復，漁民如何度過調整期。</x:v>
      </x:c>
      <x:c r="S41" s="34" t="str">
        <x:v>這項判斷忽略重要限制。請想想：想想魚群如何恢復，漁民如何度過調整期。</x:v>
      </x:c>
      <x:c r="T41" s="34" t="str">
        <x:v>「規範與法律的形成及強制力不同」是「規範與法律」的重點，但不能回答本題的「永續漁業」。請回看：想想魚群如何恢復，漁民如何度過調整期。</x:v>
      </x:c>
      <x:c r="U41" s="34" t="str">
        <x:v>判斷正確</x:v>
      </x:c>
      <x:c r="V41" s="34" t="str">
        <x:v>單因推論</x:v>
      </x:c>
      <x:c r="W41" s="34" t="str">
        <x:v>證據不足</x:v>
      </x:c>
      <x:c r="X41" s="34" t="str">
        <x:v>忽略利害關係人</x:v>
      </x:c>
      <x:c r="Y41" s="34" t="str">
        <x:v>想想魚群如何恢復，漁民如何度過調整期。</x:v>
      </x:c>
      <x:c r="Z41" s="34" t="str">
        <x:v>訪談多方並搭配噪音與發電資料</x:v>
      </x:c>
      <x:c r="AA41" s="34" t="str">
        <x:v>貿易增加，也改變土地與族群關係</x:v>
      </x:c>
      <x:c r="AB41" s="34" t="str">
        <x:v>A</x:v>
      </x:c>
      <x:c r="AC41" s="34" t="str">
        <x:v>這是判斷「永續漁業」時要使用的依據。讓魚群有繁殖時間並提供轉型支持，才能同時處理生態與生計；無限制捕撈會惡化枯竭。</x:v>
      </x:c>
      <x:c r="AD41" s="34" t="str">
        <x:v>這是「多元觀點」的重點；本題要判斷的是「永續漁業」，兩者不能互相代替。</x:v>
      </x:c>
      <x:c r="AE41" s="34" t="str">
        <x:v>這項知識屬於「貿易影響」，無法支持本題的「永續漁業」判斷。</x:v>
      </x:c>
      <x:c r="AF41" s="34" t="str">
        <x:v>買海鮮時參考季節與永續標示。</x:v>
      </x:c>
    </x:row>
    <x:row r="42" ht="76" customHeight="1">
      <x:c r="A42" s="34" t="str">
        <x:v>5A-U3</x:v>
      </x:c>
      <x:c r="B42" s="34" t="str">
        <x:v>五上</x:v>
      </x:c>
      <x:c r="C42" s="34" t="n">
        <x:v>3</x:v>
      </x:c>
      <x:c r="D42" s="34" t="str">
        <x:v>臺灣的物產資源</x:v>
      </x:c>
      <x:c r="E42" s="34" t="str">
        <x:v>5A-U3-O3</x:v>
      </x:c>
      <x:c r="F42" s="34" t="n">
        <x:v>8</x:v>
      </x:c>
      <x:c r="G42" s="34" t="str">
        <x:v>證據判讀</x:v>
      </x:c>
      <x:c r="H42" s="34" t="str">
        <x:v>哪項資料最能支持「設禁漁期、尺寸限制並協助轉型」？</x:v>
      </x:c>
      <x:c r="I42" s="34" t="str">
        <x:v>和題目直接有關的資料</x:v>
      </x:c>
      <x:c r="J42" s="34" t="str">
        <x:v>電力帶來便利，也增加供電依賴</x:v>
      </x:c>
      <x:c r="K42" s="34" t="str">
        <x:v>依能源補充性與環境特性分類</x:v>
      </x:c>
      <x:c r="L42" s="34" t="str">
        <x:v>依地理條件發展能源並評估影響</x:v>
      </x:c>
      <x:c r="M42" s="34" t="str">
        <x:v>A</x:v>
      </x:c>
      <x:c r="N42" s="34" t="str">
        <x:v>和題目直接有關的資料</x:v>
      </x:c>
      <x:c r="O42" s="34" t="str">
        <x:v>想想魚群如何恢復，漁民如何度過調整期。</x:v>
      </x:c>
      <x:c r="P42" s="34" t="str">
        <x:v>這題檢查的是證據能否直接支持「依監測設禁漁期與尺寸限制，並協助漁民調整生產」，不是文字長短或票數。讓魚群有繁殖時間並提供轉型支持，才能同時處理生態與生計；無限制捕撈會惡化枯竭。</x:v>
      </x:c>
      <x:c r="Q42" s="34" t="str">
        <x:v>答對了；「和題目直接有關的資料」同時保留了永續漁業需要的範圍與限制。</x:v>
      </x:c>
      <x:c r="R42" s="34" t="str">
        <x:v>「電力帶來便利，也增加供電依賴」是「電力與生活」的重點，但不能回答本題的「永續漁業」。請回看：想想魚群如何恢復，漁民如何度過調整期。</x:v>
      </x:c>
      <x:c r="S42" s="34" t="str">
        <x:v>「依能源補充性與環境特性分類」是「能源分類」的重點，但不能回答本題的「永續漁業」。請回看：想想魚群如何恢復，漁民如何度過調整期。</x:v>
      </x:c>
      <x:c r="T42" s="34" t="str">
        <x:v>「依地理條件發展能源並評估影響」是「地理配對」的重點，但不能回答本題的「永續漁業」。請回看：想想魚群如何恢復，漁民如何度過調整期。</x:v>
      </x:c>
      <x:c r="U42" s="34" t="str">
        <x:v>判斷正確</x:v>
      </x:c>
      <x:c r="V42" s="34" t="str">
        <x:v>證據不足</x:v>
      </x:c>
      <x:c r="W42" s="34" t="str">
        <x:v>忽略利害關係人</x:v>
      </x:c>
      <x:c r="X42" s="34" t="str">
        <x:v>把意見當證據</x:v>
      </x:c>
      <x:c r="Y42" s="34" t="str">
        <x:v>想想魚群如何恢復，漁民如何度過調整期。</x:v>
      </x:c>
      <x:c r="Z42" s="34" t="str">
        <x:v>相關各方應依資料協商文化與保育</x:v>
      </x:c>
      <x:c r="AA42" s="34" t="str">
        <x:v>商品與港口帶動北部市鎮發展</x:v>
      </x:c>
      <x:c r="AB42" s="34" t="str">
        <x:v>A</x:v>
      </x:c>
      <x:c r="AC42" s="34" t="str">
        <x:v>這是判斷「永續漁業」時要使用的依據。讓魚群有繁殖時間並提供轉型支持，才能同時處理生態與生計；無限制捕撈會惡化枯竭。</x:v>
      </x:c>
      <x:c r="AD42" s="34" t="str">
        <x:v>這是「權利權衡」的重點；本題要判斷的是「永續漁業」，兩者不能互相代替。</x:v>
      </x:c>
      <x:c r="AE42" s="34" t="str">
        <x:v>這項知識屬於「經濟北移」，無法支持本題的「永續漁業」判斷。</x:v>
      </x:c>
      <x:c r="AF42" s="34" t="str">
        <x:v>買海鮮時參考季節與永續標示。</x:v>
      </x:c>
    </x:row>
    <x:row r="43" ht="76" customHeight="1">
      <x:c r="A43" s="34" t="str">
        <x:v>5A-U3</x:v>
      </x:c>
      <x:c r="B43" s="34" t="str">
        <x:v>五上</x:v>
      </x:c>
      <x:c r="C43" s="34" t="n">
        <x:v>3</x:v>
      </x:c>
      <x:c r="D43" s="34" t="str">
        <x:v>臺灣的物產資源</x:v>
      </x:c>
      <x:c r="E43" s="34" t="str">
        <x:v>5A-U3-O3</x:v>
      </x:c>
      <x:c r="F43" s="34" t="n">
        <x:v>9</x:v>
      </x:c>
      <x:c r="G43" s="34" t="str">
        <x:v>迷思修正</x:v>
      </x:c>
      <x:c r="H43" s="34" t="str">
        <x:v>有人說：「不限制捕撈，趁魚少前抓完」哪個答案能改正這個說法？</x:v>
      </x:c>
      <x:c r="I43" s="34" t="str">
        <x:v>設禁漁期、尺寸限制並協助轉型</x:v>
      </x:c>
      <x:c r="J43" s="34" t="str">
        <x:v>規範可調整，互助目的仍保留</x:v>
      </x:c>
      <x:c r="K43" s="34" t="str">
        <x:v>相關各方應依資料協商文化與保育</x:v>
      </x:c>
      <x:c r="L43" s="34" t="str">
        <x:v>泥沙堆積使船難進出，港口轉移</x:v>
      </x:c>
      <x:c r="M43" s="34" t="str">
        <x:v>A</x:v>
      </x:c>
      <x:c r="N43" s="34" t="str">
        <x:v>設禁漁期、尺寸限制並協助轉型</x:v>
      </x:c>
      <x:c r="O43" s="34" t="str">
        <x:v>想想魚群如何恢復，漁民如何度過調整期。</x:v>
      </x:c>
      <x:c r="P43" s="34" t="str">
        <x:v>迷思「不限制捕撈，趁魚少前抓完」的問題，是它沒有處理「某海域漁獲連年下降，漁民又依賴捕魚收入」提供的關鍵條件。讓魚群有繁殖時間並提供轉型支持，才能同時處理生態與生計；無限制捕撈會惡化枯竭。</x:v>
      </x:c>
      <x:c r="Q43" s="34" t="str">
        <x:v>你的判讀可被查證：設禁漁期、尺寸限制並協助轉型。這正是永續漁業要比較的核心。</x:v>
      </x:c>
      <x:c r="R43" s="34" t="str">
        <x:v>「規範可調整，互助目的仍保留」是「規範變遷」的重點，但不能回答本題的「永續漁業」。請回看：想想魚群如何恢復，漁民如何度過調整期。</x:v>
      </x:c>
      <x:c r="S43" s="34" t="str">
        <x:v>「相關各方應依資料協商文化與保育」是「權利權衡」的重點，但不能回答本題的「永續漁業」。請回看：想想魚群如何恢復，漁民如何度過調整期。</x:v>
      </x:c>
      <x:c r="T43" s="34" t="str">
        <x:v>「泥沙堆積使船難進出，港口轉移」是「潟湖與港口」的重點，但不能回答本題的「永續漁業」。請回看：想想魚群如何恢復，漁民如何度過調整期。</x:v>
      </x:c>
      <x:c r="U43" s="34" t="str">
        <x:v>判斷正確</x:v>
      </x:c>
      <x:c r="V43" s="34" t="str">
        <x:v>忽略利害關係人</x:v>
      </x:c>
      <x:c r="W43" s="34" t="str">
        <x:v>把意見當證據</x:v>
      </x:c>
      <x:c r="X43" s="34" t="str">
        <x:v>位置錯置</x:v>
      </x:c>
      <x:c r="Y43" s="34" t="str">
        <x:v>想想魚群如何恢復，漁民如何度過調整期。</x:v>
      </x:c>
      <x:c r="Z43" s="34" t="str">
        <x:v>分析資源、語言、組織與治理</x:v>
      </x:c>
      <x:c r="AA43" s="34" t="str">
        <x:v>比較設置前後的發電、用電與環境</x:v>
      </x:c>
      <x:c r="AB43" s="34" t="str">
        <x:v>A</x:v>
      </x:c>
      <x:c r="AC43" s="34" t="str">
        <x:v>這是判斷「永續漁業」時要使用的依據。讓魚群有繁殖時間並提供轉型支持，才能同時處理生態與生計；無限制捕撈會惡化枯竭。</x:v>
      </x:c>
      <x:c r="AD43" s="34" t="str">
        <x:v>這是「族群衝突」的重點；本題要判斷的是「永續漁業」，兩者不能互相代替。</x:v>
      </x:c>
      <x:c r="AE43" s="34" t="str">
        <x:v>這項知識屬於「能源提問」，無法支持本題的「永續漁業」判斷。</x:v>
      </x:c>
      <x:c r="AF43" s="34" t="str">
        <x:v>買海鮮時參考季節與永續標示。</x:v>
      </x:c>
    </x:row>
    <x:row r="44" ht="76" customHeight="1">
      <x:c r="A44" s="34" t="str">
        <x:v>5A-U3</x:v>
      </x:c>
      <x:c r="B44" s="34" t="str">
        <x:v>五上</x:v>
      </x:c>
      <x:c r="C44" s="34" t="n">
        <x:v>3</x:v>
      </x:c>
      <x:c r="D44" s="34" t="str">
        <x:v>臺灣的物產資源</x:v>
      </x:c>
      <x:c r="E44" s="34" t="str">
        <x:v>5A-U3-O4</x:v>
      </x:c>
      <x:c r="F44" s="34" t="n">
        <x:v>10</x:v>
      </x:c>
      <x:c r="G44" s="34" t="str">
        <x:v>情境判斷</x:v>
      </x:c>
      <x:c r="H44" s="34" t="str">
        <x:v>臺灣保護天然林後，許多木材改由國外進口。哪個答案最合理？</x:v>
      </x:c>
      <x:c r="I44" s="34" t="str">
        <x:v>查明進口木材是否來自永續來源</x:v>
      </x:c>
      <x:c r="J44" s="34" t="str">
        <x:v>進口表示全球不再消耗森林</x:v>
      </x:c>
      <x:c r="K44" s="34" t="str">
        <x:v>本地不砍樹就沒有任何環境責任</x:v>
      </x:c>
      <x:c r="L44" s="34" t="str">
        <x:v>結合檔案、觀察與多方訪談</x:v>
      </x:c>
      <x:c r="M44" s="34" t="str">
        <x:v>A</x:v>
      </x:c>
      <x:c r="N44" s="34" t="str">
        <x:v>查明進口木材是否來自永續來源</x:v>
      </x:c>
      <x:c r="O44" s="34" t="str">
        <x:v>環境影響可能跨國移動。</x:v>
      </x:c>
      <x:c r="P44" s="34" t="str">
        <x:v>木材需求可能把環境壓力移到國外，因此仍需追查供應鏈與永續林業。</x:v>
      </x:c>
      <x:c r="Q44" s="34" t="str">
        <x:v>答對了；「查明進口木材是否來自永續來源」同時保留了森林供應鏈需要的範圍與限制。</x:v>
      </x:c>
      <x:c r="R44" s="34" t="str">
        <x:v>這項判斷忽略重要限制。請想想：環境影響可能跨國移動。</x:v>
      </x:c>
      <x:c r="S44" s="34" t="str">
        <x:v>焦點放錯了。請回看：環境影響可能跨國移動。</x:v>
      </x:c>
      <x:c r="T44" s="34" t="str">
        <x:v>「結合檔案、觀察與多方訪談」是「多元資料」的重點，但不能回答本題的「森林供應鏈」。請回看：環境影響可能跨國移動。</x:v>
      </x:c>
      <x:c r="U44" s="34" t="str">
        <x:v>判斷正確</x:v>
      </x:c>
      <x:c r="V44" s="34" t="str">
        <x:v>證據不足</x:v>
      </x:c>
      <x:c r="W44" s="34" t="str">
        <x:v>忽略利害關係人</x:v>
      </x:c>
      <x:c r="X44" s="34" t="str">
        <x:v>把意見當證據</x:v>
      </x:c>
      <x:c r="Y44" s="34" t="str">
        <x:v>環境影響可能跨國移動。</x:v>
      </x:c>
      <x:c r="Z44" s="34" t="str">
        <x:v>比較地形、風浪、泥沙與停靠條件</x:v>
      </x:c>
      <x:c r="AA44" s="34" t="str">
        <x:v>合作修水圳，訂分水與維修規則</x:v>
      </x:c>
      <x:c r="AB44" s="34" t="str">
        <x:v>A</x:v>
      </x:c>
      <x:c r="AC44" s="34" t="str">
        <x:v>這是判斷「森林供應鏈」時要使用的依據。木材需求可能把環境壓力移到國外，因此仍需追查供應鏈與永續林業。</x:v>
      </x:c>
      <x:c r="AD44" s="34" t="str">
        <x:v>這是「海岸變遷」的重點；本題要判斷的是「森林供應鏈」，兩者不能互相代替。</x:v>
      </x:c>
      <x:c r="AE44" s="34" t="str">
        <x:v>這項知識屬於「水利開墾」，無法支持本題的「森林供應鏈」判斷。</x:v>
      </x:c>
      <x:c r="AF44" s="34" t="str">
        <x:v>購買木製品時查看來源與認證。</x:v>
      </x:c>
    </x:row>
    <x:row r="45" ht="76" customHeight="1">
      <x:c r="A45" s="34" t="str">
        <x:v>5A-U3</x:v>
      </x:c>
      <x:c r="B45" s="34" t="str">
        <x:v>五上</x:v>
      </x:c>
      <x:c r="C45" s="34" t="n">
        <x:v>3</x:v>
      </x:c>
      <x:c r="D45" s="34" t="str">
        <x:v>臺灣的物產資源</x:v>
      </x:c>
      <x:c r="E45" s="34" t="str">
        <x:v>5A-U3-O4</x:v>
      </x:c>
      <x:c r="F45" s="34" t="n">
        <x:v>11</x:v>
      </x:c>
      <x:c r="G45" s="34" t="str">
        <x:v>證據判讀</x:v>
      </x:c>
      <x:c r="H45" s="34" t="str">
        <x:v>哪項資料最能支持「查明進口木材是否來自永續來源」？</x:v>
      </x:c>
      <x:c r="I45" s="34" t="str">
        <x:v>和題目直接有關的資料</x:v>
      </x:c>
      <x:c r="J45" s="34" t="str">
        <x:v>設計耐用可修產品並回收再製</x:v>
      </x:c>
      <x:c r="K45" s="34" t="str">
        <x:v>比較設置前後的發電、用電與環境</x:v>
      </x:c>
      <x:c r="L45" s="34" t="str">
        <x:v>訪談多方並搭配噪音與發電資料</x:v>
      </x:c>
      <x:c r="M45" s="34" t="str">
        <x:v>A</x:v>
      </x:c>
      <x:c r="N45" s="34" t="str">
        <x:v>和題目直接有關的資料</x:v>
      </x:c>
      <x:c r="O45" s="34" t="str">
        <x:v>環境影響可能跨國移動。</x:v>
      </x:c>
      <x:c r="P45" s="34" t="str">
        <x:v>這題檢查的是證據能否直接支持「保護本地森林之外，也要查進口木材是否來自永續來源」，不是文字長短或票數。木材需求可能把環境壓力移到國外，因此仍需追查供應鏈與永續林業。</x:v>
      </x:c>
      <x:c r="Q45" s="34" t="str">
        <x:v>你的判讀可被查證：和題目直接有關的資料。這正是森林供應鏈要比較的核心。</x:v>
      </x:c>
      <x:c r="R45" s="34" t="str">
        <x:v>「設計耐用可修產品並回收再製」是「循環經濟」的重點，但不能回答本題的「森林供應鏈」。請回看：環境影響可能跨國移動。</x:v>
      </x:c>
      <x:c r="S45" s="34" t="str">
        <x:v>「比較設置前後的發電、用電與環境」是「能源提問」的重點，但不能回答本題的「森林供應鏈」。請回看：環境影響可能跨國移動。</x:v>
      </x:c>
      <x:c r="T45" s="34" t="str">
        <x:v>「訪談多方並搭配噪音與發電資料」是「多元觀點」的重點，但不能回答本題的「森林供應鏈」。請回看：環境影響可能跨國移動。</x:v>
      </x:c>
      <x:c r="U45" s="34" t="str">
        <x:v>判斷正確</x:v>
      </x:c>
      <x:c r="V45" s="34" t="str">
        <x:v>忽略利害關係人</x:v>
      </x:c>
      <x:c r="W45" s="34" t="str">
        <x:v>把意見當證據</x:v>
      </x:c>
      <x:c r="X45" s="34" t="str">
        <x:v>位置錯置</x:v>
      </x:c>
      <x:c r="Y45" s="34" t="str">
        <x:v>環境影響可能跨國移動。</x:v>
      </x:c>
      <x:c r="Z45" s="34" t="str">
        <x:v>結合檔案、觀察與多方訪談</x:v>
      </x:c>
      <x:c r="AA45" s="34" t="str">
        <x:v>用共同指標比較各能源的代價</x:v>
      </x:c>
      <x:c r="AB45" s="34" t="str">
        <x:v>A</x:v>
      </x:c>
      <x:c r="AC45" s="34" t="str">
        <x:v>這是判斷「森林供應鏈」時要使用的依據。木材需求可能把環境壓力移到國外，因此仍需追查供應鏈與永續林業。</x:v>
      </x:c>
      <x:c r="AD45" s="34" t="str">
        <x:v>這是「多元資料」的重點；本題要判斷的是「森林供應鏈」，兩者不能互相代替。</x:v>
      </x:c>
      <x:c r="AE45" s="34" t="str">
        <x:v>這項知識屬於「能源代價」，無法支持本題的「森林供應鏈」判斷。</x:v>
      </x:c>
      <x:c r="AF45" s="34" t="str">
        <x:v>購買木製品時查看來源與認證。</x:v>
      </x:c>
    </x:row>
    <x:row r="46" ht="76" customHeight="1">
      <x:c r="A46" s="34" t="str">
        <x:v>5A-U3</x:v>
      </x:c>
      <x:c r="B46" s="34" t="str">
        <x:v>五上</x:v>
      </x:c>
      <x:c r="C46" s="34" t="n">
        <x:v>3</x:v>
      </x:c>
      <x:c r="D46" s="34" t="str">
        <x:v>臺灣的物產資源</x:v>
      </x:c>
      <x:c r="E46" s="34" t="str">
        <x:v>5A-U3-O4</x:v>
      </x:c>
      <x:c r="F46" s="34" t="n">
        <x:v>12</x:v>
      </x:c>
      <x:c r="G46" s="34" t="str">
        <x:v>迷思修正</x:v>
      </x:c>
      <x:c r="H46" s="34" t="str">
        <x:v>有人說：「進口表示全球不再消耗森林」哪個答案能改正這個說法？</x:v>
      </x:c>
      <x:c r="I46" s="34" t="str">
        <x:v>查明進口木材是否來自永續來源</x:v>
      </x:c>
      <x:c r="J46" s="34" t="str">
        <x:v>核對單位、時間、尺度與原始數值</x:v>
      </x:c>
      <x:c r="K46" s="34" t="str">
        <x:v>限定結論範圍並說明調查限制</x:v>
      </x:c>
      <x:c r="L46" s="34" t="str">
        <x:v>查紀錄、調方法，再用同指標測量</x:v>
      </x:c>
      <x:c r="M46" s="34" t="str">
        <x:v>A</x:v>
      </x:c>
      <x:c r="N46" s="34" t="str">
        <x:v>查明進口木材是否來自永續來源</x:v>
      </x:c>
      <x:c r="O46" s="34" t="str">
        <x:v>環境影響可能跨國移動。</x:v>
      </x:c>
      <x:c r="P46" s="34" t="str">
        <x:v>迷思「進口表示全球不再消耗森林」的問題，是它沒有處理「臺灣保護天然林後，許多木材改由國外進口」提供的關鍵條件。木材需求可能把環境壓力移到國外，因此仍需追查供應鏈與永續林業。</x:v>
      </x:c>
      <x:c r="Q46" s="34" t="str">
        <x:v>判斷精準。「查明進口木材是否來自永續來源」直接回應森林供應鏈，推論沒有超過資料。</x:v>
      </x:c>
      <x:c r="R46" s="34" t="str">
        <x:v>「核對單位、時間、尺度與原始數值」是「圖表判讀」的重點，但不能回答本題的「森林供應鏈」。請回看：環境影響可能跨國移動。</x:v>
      </x:c>
      <x:c r="S46" s="34" t="str">
        <x:v>「限定結論範圍並說明調查限制」是「結論界線」的重點，但不能回答本題的「森林供應鏈」。請回看：環境影響可能跨國移動。</x:v>
      </x:c>
      <x:c r="T46" s="34" t="str">
        <x:v>「查紀錄、調方法，再用同指標測量」是「行動省思」的重點，但不能回答本題的「森林供應鏈」。請回看：環境影響可能跨國移動。</x:v>
      </x:c>
      <x:c r="U46" s="34" t="str">
        <x:v>判斷正確</x:v>
      </x:c>
      <x:c r="V46" s="34" t="str">
        <x:v>把意見當證據</x:v>
      </x:c>
      <x:c r="W46" s="34" t="str">
        <x:v>位置錯置</x:v>
      </x:c>
      <x:c r="X46" s="34" t="str">
        <x:v>忽略時空脈絡</x:v>
      </x:c>
      <x:c r="Y46" s="34" t="str">
        <x:v>環境影響可能跨國移動。</x:v>
      </x:c>
      <x:c r="Z46" s="34" t="str">
        <x:v>電力帶來便利，也增加供電依賴</x:v>
      </x:c>
      <x:c r="AA46" s="34" t="str">
        <x:v>板塊交界造成多山與地震</x:v>
      </x:c>
      <x:c r="AB46" s="34" t="str">
        <x:v>A</x:v>
      </x:c>
      <x:c r="AC46" s="34" t="str">
        <x:v>這是判斷「森林供應鏈」時要使用的依據。木材需求可能把環境壓力移到國外，因此仍需追查供應鏈與永續林業。</x:v>
      </x:c>
      <x:c r="AD46" s="34" t="str">
        <x:v>這是「電力與生活」的重點；本題要判斷的是「森林供應鏈」，兩者不能互相代替。</x:v>
      </x:c>
      <x:c r="AE46" s="34" t="str">
        <x:v>這項知識屬於「板塊與地形」，無法支持本題的「森林供應鏈」判斷。</x:v>
      </x:c>
      <x:c r="AF46" s="34" t="str">
        <x:v>購買木製品時查看來源與認證。</x:v>
      </x:c>
    </x:row>
    <x:row r="47" ht="76" customHeight="1">
      <x:c r="A47" s="34" t="str">
        <x:v>5A-U3</x:v>
      </x:c>
      <x:c r="B47" s="34" t="str">
        <x:v>五上</x:v>
      </x:c>
      <x:c r="C47" s="34" t="n">
        <x:v>3</x:v>
      </x:c>
      <x:c r="D47" s="34" t="str">
        <x:v>臺灣的物產資源</x:v>
      </x:c>
      <x:c r="E47" s="34" t="str">
        <x:v>5A-U3-O5</x:v>
      </x:c>
      <x:c r="F47" s="34" t="n">
        <x:v>13</x:v>
      </x:c>
      <x:c r="G47" s="34" t="str">
        <x:v>情境判斷</x:v>
      </x:c>
      <x:c r="H47" s="34" t="str">
        <x:v>礦業停採後，小鎮把礦場轉為文化園區。哪個答案最合理？</x:v>
      </x:c>
      <x:c r="I47" s="34" t="str">
        <x:v>長期追蹤保存、參與、就業與環境</x:v>
      </x:c>
      <x:c r="J47" s="34" t="str">
        <x:v>只看開幕第一天人數</x:v>
      </x:c>
      <x:c r="K47" s="34" t="str">
        <x:v>只計算紀念品種類</x:v>
      </x:c>
      <x:c r="L47" s="34" t="str">
        <x:v>通商壓力、物產與航路共同促成開港</x:v>
      </x:c>
      <x:c r="M47" s="34" t="str">
        <x:v>A</x:v>
      </x:c>
      <x:c r="N47" s="34" t="str">
        <x:v>長期追蹤保存、參與、就業與環境</x:v>
      </x:c>
      <x:c r="O47" s="34" t="str">
        <x:v>問誰參與、誰受益、保存了什麼。</x:v>
      </x:c>
      <x:c r="P47" s="34" t="str">
        <x:v>地方轉型不只追求人潮，還要看文化、社會、經濟與環境是否長期改善。</x:v>
      </x:c>
      <x:c r="Q47" s="34" t="str">
        <x:v>你的判讀可被查證：長期追蹤保存、參與、就業與環境。這正是地方轉型要比較的核心。</x:v>
      </x:c>
      <x:c r="R47" s="34" t="str">
        <x:v>焦點放錯了。請回看：問誰參與、誰受益、保存了什麼。</x:v>
      </x:c>
      <x:c r="S47" s="34" t="str">
        <x:v>這項推論缺少證據。請確認：問誰參與、誰受益、保存了什麼。</x:v>
      </x:c>
      <x:c r="T47" s="34" t="str">
        <x:v>「通商壓力、物產與航路共同促成開港」是「開港背景」的重點，但不能回答本題的「地方轉型」。請回看：問誰參與、誰受益、保存了什麼。</x:v>
      </x:c>
      <x:c r="U47" s="34" t="str">
        <x:v>判斷正確</x:v>
      </x:c>
      <x:c r="V47" s="34" t="str">
        <x:v>忽略利害關係人</x:v>
      </x:c>
      <x:c r="W47" s="34" t="str">
        <x:v>把意見當證據</x:v>
      </x:c>
      <x:c r="X47" s="34" t="str">
        <x:v>位置錯置</x:v>
      </x:c>
      <x:c r="Y47" s="34" t="str">
        <x:v>問誰參與、誰受益、保存了什麼。</x:v>
      </x:c>
      <x:c r="Z47" s="34" t="str">
        <x:v>泥沙堆積使船難進出，港口轉移</x:v>
      </x:c>
      <x:c r="AA47" s="34" t="str">
        <x:v>外力暴露治理不足，促使政策改變</x:v>
      </x:c>
      <x:c r="AB47" s="34" t="str">
        <x:v>A</x:v>
      </x:c>
      <x:c r="AC47" s="34" t="str">
        <x:v>這是判斷「地方轉型」時要使用的依據。地方轉型不只追求人潮，還要看文化、社會、經濟與環境是否長期改善。</x:v>
      </x:c>
      <x:c r="AD47" s="34" t="str">
        <x:v>這是「潟湖與港口」的重點；本題要判斷的是「地方轉型」，兩者不能互相代替。</x:v>
      </x:c>
      <x:c r="AE47" s="34" t="str">
        <x:v>這項知識屬於「牡丹社事件」，無法支持本題的「地方轉型」判斷。</x:v>
      </x:c>
      <x:c r="AF47" s="34" t="str">
        <x:v>參訪舊產業場址時，也了解勞動與環境代價。</x:v>
      </x:c>
    </x:row>
    <x:row r="48" ht="76" customHeight="1">
      <x:c r="A48" s="34" t="str">
        <x:v>5A-U3</x:v>
      </x:c>
      <x:c r="B48" s="34" t="str">
        <x:v>五上</x:v>
      </x:c>
      <x:c r="C48" s="34" t="n">
        <x:v>3</x:v>
      </x:c>
      <x:c r="D48" s="34" t="str">
        <x:v>臺灣的物產資源</x:v>
      </x:c>
      <x:c r="E48" s="34" t="str">
        <x:v>5A-U3-O5</x:v>
      </x:c>
      <x:c r="F48" s="34" t="n">
        <x:v>14</x:v>
      </x:c>
      <x:c r="G48" s="34" t="str">
        <x:v>證據判讀</x:v>
      </x:c>
      <x:c r="H48" s="34" t="str">
        <x:v>哪項資料最能支持「長期追蹤保存、參與、就業與環境」？</x:v>
      </x:c>
      <x:c r="I48" s="34" t="str">
        <x:v>和題目直接有關的資料</x:v>
      </x:c>
      <x:c r="J48" s="34" t="str">
        <x:v>比較地形、風浪、泥沙與停靠條件</x:v>
      </x:c>
      <x:c r="K48" s="34" t="str">
        <x:v>遺物顯示可能已有農耕定居生活</x:v>
      </x:c>
      <x:c r="L48" s="34" t="str">
        <x:v>分族查資料，再比較文化異同</x:v>
      </x:c>
      <x:c r="M48" s="34" t="str">
        <x:v>A</x:v>
      </x:c>
      <x:c r="N48" s="34" t="str">
        <x:v>和題目直接有關的資料</x:v>
      </x:c>
      <x:c r="O48" s="34" t="str">
        <x:v>問誰參與、誰受益、保存了什麼。</x:v>
      </x:c>
      <x:c r="P48" s="34" t="str">
        <x:v>這題檢查的是證據能否直接支持「追蹤歷史保存、居民參與、就業收入與環境改善的長期變化」，不是文字長短或票數。地方轉型不只追求人潮，還要看文化、社會、經濟與環境是否長期改善。</x:v>
      </x:c>
      <x:c r="Q48" s="34" t="str">
        <x:v>判斷精準。「和題目直接有關的資料」直接回應地方轉型，推論沒有超過資料。</x:v>
      </x:c>
      <x:c r="R48" s="34" t="str">
        <x:v>「比較地形、風浪、泥沙與停靠條件」是「海岸變遷」的重點，但不能回答本題的「地方轉型」。請回看：問誰參與、誰受益、保存了什麼。</x:v>
      </x:c>
      <x:c r="S48" s="34" t="str">
        <x:v>「遺物顯示可能已有農耕定居生活」是「史前證據」的重點，但不能回答本題的「地方轉型」。請回看：問誰參與、誰受益、保存了什麼。</x:v>
      </x:c>
      <x:c r="T48" s="34" t="str">
        <x:v>「分族查資料，再比較文化異同」是「文化多樣性」的重點，但不能回答本題的「地方轉型」。請回看：問誰參與、誰受益、保存了什麼。</x:v>
      </x:c>
      <x:c r="U48" s="34" t="str">
        <x:v>判斷正確</x:v>
      </x:c>
      <x:c r="V48" s="34" t="str">
        <x:v>把意見當證據</x:v>
      </x:c>
      <x:c r="W48" s="34" t="str">
        <x:v>位置錯置</x:v>
      </x:c>
      <x:c r="X48" s="34" t="str">
        <x:v>忽略時空脈絡</x:v>
      </x:c>
      <x:c r="Y48" s="34" t="str">
        <x:v>問誰參與、誰受益、保存了什麼。</x:v>
      </x:c>
      <x:c r="Z48" s="34" t="str">
        <x:v>商品與港口帶動北部市鎮發展</x:v>
      </x:c>
      <x:c r="AA48" s="34" t="str">
        <x:v>用共同目標與相同標準調整方案</x:v>
      </x:c>
      <x:c r="AB48" s="34" t="str">
        <x:v>A</x:v>
      </x:c>
      <x:c r="AC48" s="34" t="str">
        <x:v>這是判斷「地方轉型」時要使用的依據。地方轉型不只追求人潮，還要看文化、社會、經濟與環境是否長期改善。</x:v>
      </x:c>
      <x:c r="AD48" s="34" t="str">
        <x:v>這是「經濟北移」的重點；本題要判斷的是「地方轉型」，兩者不能互相代替。</x:v>
      </x:c>
      <x:c r="AE48" s="34" t="str">
        <x:v>這項知識屬於「共識與程序」，無法支持本題的「地方轉型」判斷。</x:v>
      </x:c>
      <x:c r="AF48" s="34" t="str">
        <x:v>參訪舊產業場址時，也了解勞動與環境代價。</x:v>
      </x:c>
    </x:row>
    <x:row r="49" ht="76" customHeight="1">
      <x:c r="A49" s="34" t="str">
        <x:v>5A-U3</x:v>
      </x:c>
      <x:c r="B49" s="34" t="str">
        <x:v>五上</x:v>
      </x:c>
      <x:c r="C49" s="34" t="n">
        <x:v>3</x:v>
      </x:c>
      <x:c r="D49" s="34" t="str">
        <x:v>臺灣的物產資源</x:v>
      </x:c>
      <x:c r="E49" s="34" t="str">
        <x:v>5A-U3-O5</x:v>
      </x:c>
      <x:c r="F49" s="34" t="n">
        <x:v>15</x:v>
      </x:c>
      <x:c r="G49" s="34" t="str">
        <x:v>迷思修正</x:v>
      </x:c>
      <x:c r="H49" s="34" t="str">
        <x:v>有人說：「只看開幕第一天人數」哪個答案能改正這個說法？</x:v>
      </x:c>
      <x:c r="I49" s="34" t="str">
        <x:v>長期追蹤保存、參與、就業與環境</x:v>
      </x:c>
      <x:c r="J49" s="34" t="str">
        <x:v>商品與港口帶動北部市鎮發展</x:v>
      </x:c>
      <x:c r="K49" s="34" t="str">
        <x:v>比較具體貢獻、限制與在地回應</x:v>
      </x:c>
      <x:c r="L49" s="34" t="str">
        <x:v>外力暴露治理不足，促使政策改變</x:v>
      </x:c>
      <x:c r="M49" s="34" t="str">
        <x:v>A</x:v>
      </x:c>
      <x:c r="N49" s="34" t="str">
        <x:v>長期追蹤保存、參與、就業與環境</x:v>
      </x:c>
      <x:c r="O49" s="34" t="str">
        <x:v>問誰參與、誰受益、保存了什麼。</x:v>
      </x:c>
      <x:c r="P49" s="34" t="str">
        <x:v>迷思「只看開幕第一天人數」的問題，是它沒有處理「礦業停採後，小鎮把礦場轉為文化園區」提供的關鍵條件。地方轉型不只追求人潮，還要看文化、社會、經濟與環境是否長期改善。</x:v>
      </x:c>
      <x:c r="Q49" s="34" t="str">
        <x:v>這項選擇成立：長期追蹤保存、參與、就業與環境。它抓住地方轉型的關鍵條件。</x:v>
      </x:c>
      <x:c r="R49" s="34" t="str">
        <x:v>「商品與港口帶動北部市鎮發展」是「經濟北移」的重點，但不能回答本題的「地方轉型」。請回看：問誰參與、誰受益、保存了什麼。</x:v>
      </x:c>
      <x:c r="S49" s="34" t="str">
        <x:v>「比較具體貢獻、限制與在地回應」是「人物與交流」的重點，但不能回答本題的「地方轉型」。請回看：問誰參與、誰受益、保存了什麼。</x:v>
      </x:c>
      <x:c r="T49" s="34" t="str">
        <x:v>「外力暴露治理不足，促使政策改變」是「牡丹社事件」的重點，但不能回答本題的「地方轉型」。請回看：問誰參與、誰受益、保存了什麼。</x:v>
      </x:c>
      <x:c r="U49" s="34" t="str">
        <x:v>判斷正確</x:v>
      </x:c>
      <x:c r="V49" s="34" t="str">
        <x:v>位置錯置</x:v>
      </x:c>
      <x:c r="W49" s="34" t="str">
        <x:v>忽略時空脈絡</x:v>
      </x:c>
      <x:c r="X49" s="34" t="str">
        <x:v>過度概括</x:v>
      </x:c>
      <x:c r="Y49" s="34" t="str">
        <x:v>問誰參與、誰受益、保存了什麼。</x:v>
      </x:c>
      <x:c r="Z49" s="34" t="str">
        <x:v>查合法性，不投入無法承受的資金</x:v>
      </x:c>
      <x:c r="AA49" s="34" t="str">
        <x:v>相關各方應依資料協商文化與保育</x:v>
      </x:c>
      <x:c r="AB49" s="34" t="str">
        <x:v>A</x:v>
      </x:c>
      <x:c r="AC49" s="34" t="str">
        <x:v>這是判斷「地方轉型」時要使用的依據。地方轉型不只追求人潮，還要看文化、社會、經濟與環境是否長期改善。</x:v>
      </x:c>
      <x:c r="AD49" s="34" t="str">
        <x:v>這是「理財風險」的重點；本題要判斷的是「地方轉型」，兩者不能互相代替。</x:v>
      </x:c>
      <x:c r="AE49" s="34" t="str">
        <x:v>這項知識屬於「權利權衡」，無法支持本題的「地方轉型」判斷。</x:v>
      </x:c>
      <x:c r="AF49" s="34" t="str">
        <x:v>參訪舊產業場址時，也了解勞動與環境代價。</x:v>
      </x:c>
    </x:row>
    <x:row r="50" ht="76" customHeight="1">
      <x:c r="A50" s="35" t="str">
        <x:v>5A-U4</x:v>
      </x:c>
      <x:c r="B50" s="35" t="str">
        <x:v>五上</x:v>
      </x:c>
      <x:c r="C50" s="35" t="n">
        <x:v>4</x:v>
      </x:c>
      <x:c r="D50" s="35" t="str">
        <x:v>看見福爾摩沙</x:v>
      </x:c>
      <x:c r="E50" s="35" t="str">
        <x:v>5A-U4-O1</x:v>
      </x:c>
      <x:c r="F50" s="35" t="n">
        <x:v>1</x:v>
      </x:c>
      <x:c r="G50" s="35" t="str">
        <x:v>情境判斷</x:v>
      </x:c>
      <x:c r="H50" s="35" t="str">
        <x:v>早期大船能進潟湖，後來港道愈來愈淺。哪個答案最合理？</x:v>
      </x:c>
      <x:c r="I50" s="35" t="str">
        <x:v>泥沙堆積使船難進出，港口轉移</x:v>
      </x:c>
      <x:c r="J50" s="35" t="str">
        <x:v>季風停止使海水全部消失</x:v>
      </x:c>
      <x:c r="K50" s="35" t="str">
        <x:v>居民不再需要任何貿易</x:v>
      </x:c>
      <x:c r="L50" s="35" t="str">
        <x:v>環境、季節與歷史共同影響生活</x:v>
      </x:c>
      <x:c r="M50" s="35" t="str">
        <x:v>A</x:v>
      </x:c>
      <x:c r="N50" s="35" t="str">
        <x:v>泥沙堆積使船難進出，港口轉移</x:v>
      </x:c>
      <x:c r="O50" s="35" t="str">
        <x:v>連起泥沙、水深、船隻與港市。</x:v>
      </x:c>
      <x:c r="P50" s="35" t="str">
        <x:v>泥沙堆積會改變水深與海岸線，進一步影響船舶和聚落經濟。</x:v>
      </x:c>
      <x:c r="Q50" s="35" t="str">
        <x:v>判斷精準。「泥沙堆積使船難進出，港口轉移」直接回應潟湖與港口，推論沒有超過資料。</x:v>
      </x:c>
      <x:c r="R50" s="35" t="str">
        <x:v>這項推論缺少證據。請確認：連起泥沙、水深、船隻與港市。</x:v>
      </x:c>
      <x:c r="S50" s="35" t="str">
        <x:v>選項和題意關係較弱。提示：連起泥沙、水深、船隻與港市。</x:v>
      </x:c>
      <x:c r="T50" s="35" t="str">
        <x:v>「環境、季節與歷史共同影響生活」是「環境與生活」的重點，但不能回答本題的「潟湖與港口」。請回看：連起泥沙、水深、船隻與港市。</x:v>
      </x:c>
      <x:c r="U50" s="35" t="str">
        <x:v>判斷正確</x:v>
      </x:c>
      <x:c r="V50" s="35" t="str">
        <x:v>忽略時空脈絡</x:v>
      </x:c>
      <x:c r="W50" s="35" t="str">
        <x:v>過度概括</x:v>
      </x:c>
      <x:c r="X50" s="35" t="str">
        <x:v>單因推論</x:v>
      </x:c>
      <x:c r="Y50" s="35" t="str">
        <x:v>連起泥沙、水深、船隻與港市。</x:v>
      </x:c>
      <x:c r="Z50" s="35" t="str">
        <x:v>比較設置前後的發電、用電與環境</x:v>
      </x:c>
      <x:c r="AA50" s="35" t="str">
        <x:v>查明進口木材是否來自永續來源</x:v>
      </x:c>
      <x:c r="AB50" s="35" t="str">
        <x:v>A</x:v>
      </x:c>
      <x:c r="AC50" s="35" t="str">
        <x:v>這是判斷「潟湖與港口」時要使用的依據。泥沙堆積會改變水深與海岸線，進一步影響船舶和聚落經濟。</x:v>
      </x:c>
      <x:c r="AD50" s="35" t="str">
        <x:v>這是「能源提問」的重點；本題要判斷的是「潟湖與港口」，兩者不能互相代替。</x:v>
      </x:c>
      <x:c r="AE50" s="35" t="str">
        <x:v>這項知識屬於「森林供應鏈」，無法支持本題的「潟湖與港口」判斷。</x:v>
      </x:c>
      <x:c r="AF50" s="35" t="str">
        <x:v>用古今地圖找海岸線和港道變化。</x:v>
      </x:c>
    </x:row>
    <x:row r="51" ht="76" customHeight="1">
      <x:c r="A51" s="35" t="str">
        <x:v>5A-U4</x:v>
      </x:c>
      <x:c r="B51" s="35" t="str">
        <x:v>五上</x:v>
      </x:c>
      <x:c r="C51" s="35" t="n">
        <x:v>4</x:v>
      </x:c>
      <x:c r="D51" s="35" t="str">
        <x:v>看見福爾摩沙</x:v>
      </x:c>
      <x:c r="E51" s="35" t="str">
        <x:v>5A-U4-O1</x:v>
      </x:c>
      <x:c r="F51" s="35" t="n">
        <x:v>2</x:v>
      </x:c>
      <x:c r="G51" s="35" t="str">
        <x:v>證據判讀</x:v>
      </x:c>
      <x:c r="H51" s="35" t="str">
        <x:v>哪項資料最能支持「泥沙堆積使船難進出，港口轉移」？</x:v>
      </x:c>
      <x:c r="I51" s="35" t="str">
        <x:v>和題目直接有關的資料</x:v>
      </x:c>
      <x:c r="J51" s="35" t="str">
        <x:v>海防受重視，建省與建設強化治理</x:v>
      </x:c>
      <x:c r="K51" s="35" t="str">
        <x:v>電力帶來便利，也增加供電依賴</x:v>
      </x:c>
      <x:c r="L51" s="35" t="str">
        <x:v>依能源補充性與環境特性分類</x:v>
      </x:c>
      <x:c r="M51" s="35" t="str">
        <x:v>A</x:v>
      </x:c>
      <x:c r="N51" s="35" t="str">
        <x:v>和題目直接有關的資料</x:v>
      </x:c>
      <x:c r="O51" s="35" t="str">
        <x:v>連起泥沙、水深、船隻與港市。</x:v>
      </x:c>
      <x:c r="P51" s="35" t="str">
        <x:v>這題檢查的是證據能否直接支持「河川帶來泥沙使潟湖淤積，船舶進出困難，港口功能轉移」，不是文字長短或票數。泥沙堆積會改變水深與海岸線，進一步影響船舶和聚落經濟。</x:v>
      </x:c>
      <x:c r="Q51" s="35" t="str">
        <x:v>這項選擇成立：和題目直接有關的資料。它抓住潟湖與港口的關鍵條件。</x:v>
      </x:c>
      <x:c r="R51" s="35" t="str">
        <x:v>「海防受重視，建省與建設強化治理」是「清法戰爭與建省」的重點，但不能回答本題的「潟湖與港口」。請回看：連起泥沙、水深、船隻與港市。</x:v>
      </x:c>
      <x:c r="S51" s="35" t="str">
        <x:v>「電力帶來便利，也增加供電依賴」是「電力與生活」的重點，但不能回答本題的「潟湖與港口」。請回看：連起泥沙、水深、船隻與港市。</x:v>
      </x:c>
      <x:c r="T51" s="35" t="str">
        <x:v>「依能源補充性與環境特性分類」是「能源分類」的重點，但不能回答本題的「潟湖與港口」。請回看：連起泥沙、水深、船隻與港市。</x:v>
      </x:c>
      <x:c r="U51" s="35" t="str">
        <x:v>判斷正確</x:v>
      </x:c>
      <x:c r="V51" s="35" t="str">
        <x:v>過度概括</x:v>
      </x:c>
      <x:c r="W51" s="35" t="str">
        <x:v>單因推論</x:v>
      </x:c>
      <x:c r="X51" s="35" t="str">
        <x:v>證據不足</x:v>
      </x:c>
      <x:c r="Y51" s="35" t="str">
        <x:v>連起泥沙、水深、船隻與港市。</x:v>
      </x:c>
      <x:c r="Z51" s="35" t="str">
        <x:v>規範可調整，互助目的仍保留</x:v>
      </x:c>
      <x:c r="AA51" s="35" t="str">
        <x:v>通商壓力、物產與航路共同促成開港</x:v>
      </x:c>
      <x:c r="AB51" s="35" t="str">
        <x:v>A</x:v>
      </x:c>
      <x:c r="AC51" s="35" t="str">
        <x:v>這是判斷「潟湖與港口」時要使用的依據。泥沙堆積會改變水深與海岸線，進一步影響船舶和聚落經濟。</x:v>
      </x:c>
      <x:c r="AD51" s="35" t="str">
        <x:v>這是「規範變遷」的重點；本題要判斷的是「潟湖與港口」，兩者不能互相代替。</x:v>
      </x:c>
      <x:c r="AE51" s="35" t="str">
        <x:v>這項知識屬於「開港背景」，無法支持本題的「潟湖與港口」判斷。</x:v>
      </x:c>
      <x:c r="AF51" s="35" t="str">
        <x:v>用古今地圖找海岸線和港道變化。</x:v>
      </x:c>
    </x:row>
    <x:row r="52" ht="76" customHeight="1">
      <x:c r="A52" s="35" t="str">
        <x:v>5A-U4</x:v>
      </x:c>
      <x:c r="B52" s="35" t="str">
        <x:v>五上</x:v>
      </x:c>
      <x:c r="C52" s="35" t="n">
        <x:v>4</x:v>
      </x:c>
      <x:c r="D52" s="35" t="str">
        <x:v>看見福爾摩沙</x:v>
      </x:c>
      <x:c r="E52" s="35" t="str">
        <x:v>5A-U4-O1</x:v>
      </x:c>
      <x:c r="F52" s="35" t="n">
        <x:v>3</x:v>
      </x:c>
      <x:c r="G52" s="35" t="str">
        <x:v>迷思修正</x:v>
      </x:c>
      <x:c r="H52" s="35" t="str">
        <x:v>有人說：「季風停止使海水全部消失」哪個答案能改正這個說法？</x:v>
      </x:c>
      <x:c r="I52" s="35" t="str">
        <x:v>泥沙堆積使船難進出，港口轉移</x:v>
      </x:c>
      <x:c r="J52" s="35" t="str">
        <x:v>規範與法律的形成及強制力不同</x:v>
      </x:c>
      <x:c r="K52" s="35" t="str">
        <x:v>規範可調整，互助目的仍保留</x:v>
      </x:c>
      <x:c r="L52" s="35" t="str">
        <x:v>相關各方應依資料協商文化與保育</x:v>
      </x:c>
      <x:c r="M52" s="35" t="str">
        <x:v>A</x:v>
      </x:c>
      <x:c r="N52" s="35" t="str">
        <x:v>泥沙堆積使船難進出，港口轉移</x:v>
      </x:c>
      <x:c r="O52" s="35" t="str">
        <x:v>連起泥沙、水深、船隻與港市。</x:v>
      </x:c>
      <x:c r="P52" s="35" t="str">
        <x:v>迷思「季風停止使海水全部消失」的問題，是它沒有處理「早期大船能進潟湖，後來港道愈來愈淺」提供的關鍵條件。泥沙堆積會改變水深與海岸線，進一步影響船舶和聚落經濟。</x:v>
      </x:c>
      <x:c r="Q52" s="35" t="str">
        <x:v>證據吻合。選項「泥沙堆積使船難進出，港口轉移」能把潟湖與港口的線索合理連起來。</x:v>
      </x:c>
      <x:c r="R52" s="35" t="str">
        <x:v>「規範與法律的形成及強制力不同」是「規範與法律」的重點，但不能回答本題的「潟湖與港口」。請回看：連起泥沙、水深、船隻與港市。</x:v>
      </x:c>
      <x:c r="S52" s="35" t="str">
        <x:v>「規範可調整，互助目的仍保留」是「規範變遷」的重點，但不能回答本題的「潟湖與港口」。請回看：連起泥沙、水深、船隻與港市。</x:v>
      </x:c>
      <x:c r="T52" s="35" t="str">
        <x:v>「相關各方應依資料協商文化與保育」是「權利權衡」的重點，但不能回答本題的「潟湖與港口」。請回看：連起泥沙、水深、船隻與港市。</x:v>
      </x:c>
      <x:c r="U52" s="35" t="str">
        <x:v>判斷正確</x:v>
      </x:c>
      <x:c r="V52" s="35" t="str">
        <x:v>單因推論</x:v>
      </x:c>
      <x:c r="W52" s="35" t="str">
        <x:v>證據不足</x:v>
      </x:c>
      <x:c r="X52" s="35" t="str">
        <x:v>忽略利害關係人</x:v>
      </x:c>
      <x:c r="Y52" s="35" t="str">
        <x:v>連起泥沙、水深、船隻與港市。</x:v>
      </x:c>
      <x:c r="Z52" s="35" t="str">
        <x:v>生活、機會與政策共同影響移動</x:v>
      </x:c>
      <x:c r="AA52" s="35" t="str">
        <x:v>設計耐用可修產品並回收再製</x:v>
      </x:c>
      <x:c r="AB52" s="35" t="str">
        <x:v>A</x:v>
      </x:c>
      <x:c r="AC52" s="35" t="str">
        <x:v>這是判斷「潟湖與港口」時要使用的依據。泥沙堆積會改變水深與海岸線，進一步影響船舶和聚落經濟。</x:v>
      </x:c>
      <x:c r="AD52" s="35" t="str">
        <x:v>這是「遷移原因」的重點；本題要判斷的是「潟湖與港口」，兩者不能互相代替。</x:v>
      </x:c>
      <x:c r="AE52" s="35" t="str">
        <x:v>這項知識屬於「循環經濟」，無法支持本題的「潟湖與港口」判斷。</x:v>
      </x:c>
      <x:c r="AF52" s="35" t="str">
        <x:v>用古今地圖找海岸線和港道變化。</x:v>
      </x:c>
    </x:row>
    <x:row r="53" ht="76" customHeight="1">
      <x:c r="A53" s="35" t="str">
        <x:v>5A-U4</x:v>
      </x:c>
      <x:c r="B53" s="35" t="str">
        <x:v>五上</x:v>
      </x:c>
      <x:c r="C53" s="35" t="n">
        <x:v>4</x:v>
      </x:c>
      <x:c r="D53" s="35" t="str">
        <x:v>看見福爾摩沙</x:v>
      </x:c>
      <x:c r="E53" s="35" t="str">
        <x:v>5A-U4-O2</x:v>
      </x:c>
      <x:c r="F53" s="35" t="n">
        <x:v>4</x:v>
      </x:c>
      <x:c r="G53" s="35" t="str">
        <x:v>情境判斷</x:v>
      </x:c>
      <x:c r="H53" s="35" t="str">
        <x:v>十七世紀歐洲勢力競相在東亞建立據點。哪個答案最合理？</x:v>
      </x:c>
      <x:c r="I53" s="35" t="str">
        <x:v>臺灣鄰近航路，利於貿易競爭</x:v>
      </x:c>
      <x:c r="J53" s="35" t="str">
        <x:v>臺灣位在歐洲正中央</x:v>
      </x:c>
      <x:c r="K53" s="35" t="str">
        <x:v>臺灣控制全世界所有商品</x:v>
      </x:c>
      <x:c r="L53" s="35" t="str">
        <x:v>聚焦特定海岸、時間與不同觀點</x:v>
      </x:c>
      <x:c r="M53" s="35" t="str">
        <x:v>A</x:v>
      </x:c>
      <x:c r="N53" s="35" t="str">
        <x:v>臺灣鄰近航路，利於貿易競爭</x:v>
      </x:c>
      <x:c r="O53" s="35" t="str">
        <x:v>從航路、商品和競爭思考。</x:v>
      </x:c>
      <x:c r="P53" s="35" t="str">
        <x:v>航路位置與商業競爭能解釋多方進入臺灣；其他說法在地理或因果上不成立。</x:v>
      </x:c>
      <x:c r="Q53" s="35" t="str">
        <x:v>這項選擇成立：臺灣鄰近航路，利於貿易競爭。它抓住航海動機的關鍵條件。</x:v>
      </x:c>
      <x:c r="R53" s="35" t="str">
        <x:v>選項和題意關係較弱。提示：從航路、商品和競爭思考。</x:v>
      </x:c>
      <x:c r="S53" s="35" t="str">
        <x:v>這裡混淆了條件與結論。提示：從航路、商品和競爭思考。</x:v>
      </x:c>
      <x:c r="T53" s="35" t="str">
        <x:v>「聚焦特定海岸、時間與不同觀點」是「問題形成」的重點，但不能回答本題的「航海動機」。請回看：從航路、商品和競爭思考。</x:v>
      </x:c>
      <x:c r="U53" s="35" t="str">
        <x:v>判斷正確</x:v>
      </x:c>
      <x:c r="V53" s="35" t="str">
        <x:v>過度概括</x:v>
      </x:c>
      <x:c r="W53" s="35" t="str">
        <x:v>單因推論</x:v>
      </x:c>
      <x:c r="X53" s="35" t="str">
        <x:v>證據不足</x:v>
      </x:c>
      <x:c r="Y53" s="35" t="str">
        <x:v>從航路、商品和競爭思考。</x:v>
      </x:c>
      <x:c r="Z53" s="35" t="str">
        <x:v>板塊交界造成多山與地震</x:v>
      </x:c>
      <x:c r="AA53" s="35" t="str">
        <x:v>季風影響航程與風險，但不保證安全</x:v>
      </x:c>
      <x:c r="AB53" s="35" t="str">
        <x:v>A</x:v>
      </x:c>
      <x:c r="AC53" s="35" t="str">
        <x:v>這是判斷「航海動機」時要使用的依據。航路位置與商業競爭能解釋多方進入臺灣；其他說法在地理或因果上不成立。</x:v>
      </x:c>
      <x:c r="AD53" s="35" t="str">
        <x:v>這是「板塊與地形」的重點；本題要判斷的是「航海動機」，兩者不能互相代替。</x:v>
      </x:c>
      <x:c r="AE53" s="35" t="str">
        <x:v>這項知識屬於「移民與季風」，無法支持本題的「航海動機」判斷。</x:v>
      </x:c>
      <x:c r="AF53" s="35" t="str">
        <x:v>分析企業選址時，也分開位置優勢與宣傳。</x:v>
      </x:c>
    </x:row>
    <x:row r="54" ht="76" customHeight="1">
      <x:c r="A54" s="35" t="str">
        <x:v>5A-U4</x:v>
      </x:c>
      <x:c r="B54" s="35" t="str">
        <x:v>五上</x:v>
      </x:c>
      <x:c r="C54" s="35" t="n">
        <x:v>4</x:v>
      </x:c>
      <x:c r="D54" s="35" t="str">
        <x:v>看見福爾摩沙</x:v>
      </x:c>
      <x:c r="E54" s="35" t="str">
        <x:v>5A-U4-O2</x:v>
      </x:c>
      <x:c r="F54" s="35" t="n">
        <x:v>5</x:v>
      </x:c>
      <x:c r="G54" s="35" t="str">
        <x:v>證據判讀</x:v>
      </x:c>
      <x:c r="H54" s="35" t="str">
        <x:v>哪項資料最能支持「臺灣鄰近航路，利於貿易競爭」？</x:v>
      </x:c>
      <x:c r="I54" s="35" t="str">
        <x:v>和題目直接有關的資料</x:v>
      </x:c>
      <x:c r="J54" s="35" t="str">
        <x:v>訂規則、維修配置與歸還責任</x:v>
      </x:c>
      <x:c r="K54" s="35" t="str">
        <x:v>設計耐用可修產品並回收再製</x:v>
      </x:c>
      <x:c r="L54" s="35" t="str">
        <x:v>比較設置前後的發電、用電與環境</x:v>
      </x:c>
      <x:c r="M54" s="35" t="str">
        <x:v>A</x:v>
      </x:c>
      <x:c r="N54" s="35" t="str">
        <x:v>和題目直接有關的資料</x:v>
      </x:c>
      <x:c r="O54" s="35" t="str">
        <x:v>從航路、商品和競爭思考。</x:v>
      </x:c>
      <x:c r="P54" s="35" t="str">
        <x:v>這題檢查的是證據能否直接支持「鄰近東亞航路，可連結貿易並參與區域競爭」，不是文字長短或票數。航路位置與商業競爭能解釋多方進入臺灣；其他說法在地理或因果上不成立。</x:v>
      </x:c>
      <x:c r="Q54" s="35" t="str">
        <x:v>證據吻合。選項「和題目直接有關的資料」能把航海動機的線索合理連起來。</x:v>
      </x:c>
      <x:c r="R54" s="35" t="str">
        <x:v>「訂規則、維修配置與歸還責任」是「共享資源」的重點，但不能回答本題的「航海動機」。請回看：從航路、商品和競爭思考。</x:v>
      </x:c>
      <x:c r="S54" s="35" t="str">
        <x:v>「設計耐用可修產品並回收再製」是「循環經濟」的重點，但不能回答本題的「航海動機」。請回看：從航路、商品和競爭思考。</x:v>
      </x:c>
      <x:c r="T54" s="35" t="str">
        <x:v>「比較設置前後的發電、用電與環境」是「能源提問」的重點，但不能回答本題的「航海動機」。請回看：從航路、商品和競爭思考。</x:v>
      </x:c>
      <x:c r="U54" s="35" t="str">
        <x:v>判斷正確</x:v>
      </x:c>
      <x:c r="V54" s="35" t="str">
        <x:v>單因推論</x:v>
      </x:c>
      <x:c r="W54" s="35" t="str">
        <x:v>證據不足</x:v>
      </x:c>
      <x:c r="X54" s="35" t="str">
        <x:v>忽略利害關係人</x:v>
      </x:c>
      <x:c r="Y54" s="35" t="str">
        <x:v>從航路、商品和競爭思考。</x:v>
      </x:c>
      <x:c r="Z54" s="35" t="str">
        <x:v>聚焦特定海岸、時間與不同觀點</x:v>
      </x:c>
      <x:c r="AA54" s="35" t="str">
        <x:v>依地理條件發展能源並評估影響</x:v>
      </x:c>
      <x:c r="AB54" s="35" t="str">
        <x:v>A</x:v>
      </x:c>
      <x:c r="AC54" s="35" t="str">
        <x:v>這是判斷「航海動機」時要使用的依據。航路位置與商業競爭能解釋多方進入臺灣；其他說法在地理或因果上不成立。</x:v>
      </x:c>
      <x:c r="AD54" s="35" t="str">
        <x:v>這是「問題形成」的重點；本題要判斷的是「航海動機」，兩者不能互相代替。</x:v>
      </x:c>
      <x:c r="AE54" s="35" t="str">
        <x:v>這項知識屬於「地理配對」，無法支持本題的「航海動機」判斷。</x:v>
      </x:c>
      <x:c r="AF54" s="35" t="str">
        <x:v>分析企業選址時，也分開位置優勢與宣傳。</x:v>
      </x:c>
    </x:row>
    <x:row r="55" ht="76" customHeight="1">
      <x:c r="A55" s="35" t="str">
        <x:v>5A-U4</x:v>
      </x:c>
      <x:c r="B55" s="35" t="str">
        <x:v>五上</x:v>
      </x:c>
      <x:c r="C55" s="35" t="n">
        <x:v>4</x:v>
      </x:c>
      <x:c r="D55" s="35" t="str">
        <x:v>看見福爾摩沙</x:v>
      </x:c>
      <x:c r="E55" s="35" t="str">
        <x:v>5A-U4-O2</x:v>
      </x:c>
      <x:c r="F55" s="35" t="n">
        <x:v>6</x:v>
      </x:c>
      <x:c r="G55" s="35" t="str">
        <x:v>迷思修正</x:v>
      </x:c>
      <x:c r="H55" s="35" t="str">
        <x:v>有人說：「臺灣位在歐洲正中央」哪個答案能改正這個說法？</x:v>
      </x:c>
      <x:c r="I55" s="35" t="str">
        <x:v>臺灣鄰近航路，利於貿易競爭</x:v>
      </x:c>
      <x:c r="J55" s="35" t="str">
        <x:v>結合檔案、觀察與多方訪談</x:v>
      </x:c>
      <x:c r="K55" s="35" t="str">
        <x:v>核對單位、時間、尺度與原始數值</x:v>
      </x:c>
      <x:c r="L55" s="35" t="str">
        <x:v>限定結論範圍並說明調查限制</x:v>
      </x:c>
      <x:c r="M55" s="35" t="str">
        <x:v>A</x:v>
      </x:c>
      <x:c r="N55" s="35" t="str">
        <x:v>臺灣鄰近航路，利於貿易競爭</x:v>
      </x:c>
      <x:c r="O55" s="35" t="str">
        <x:v>從航路、商品和競爭思考。</x:v>
      </x:c>
      <x:c r="P55" s="35" t="str">
        <x:v>迷思「臺灣位在歐洲正中央」的問題，是它沒有處理「十七世紀歐洲勢力競相在東亞建立據點」提供的關鍵條件。航路位置與商業競爭能解釋多方進入臺灣；其他說法在地理或因果上不成立。</x:v>
      </x:c>
      <x:c r="Q55" s="35" t="str">
        <x:v>答對了；「臺灣鄰近航路，利於貿易競爭」同時保留了航海動機需要的範圍與限制。</x:v>
      </x:c>
      <x:c r="R55" s="35" t="str">
        <x:v>「結合檔案、觀察與多方訪談」是「多元資料」的重點，但不能回答本題的「航海動機」。請回看：從航路、商品和競爭思考。</x:v>
      </x:c>
      <x:c r="S55" s="35" t="str">
        <x:v>「核對單位、時間、尺度與原始數值」是「圖表判讀」的重點，但不能回答本題的「航海動機」。請回看：從航路、商品和競爭思考。</x:v>
      </x:c>
      <x:c r="T55" s="35" t="str">
        <x:v>「限定結論範圍並說明調查限制」是「結論界線」的重點，但不能回答本題的「航海動機」。請回看：從航路、商品和競爭思考。</x:v>
      </x:c>
      <x:c r="U55" s="35" t="str">
        <x:v>判斷正確</x:v>
      </x:c>
      <x:c r="V55" s="35" t="str">
        <x:v>證據不足</x:v>
      </x:c>
      <x:c r="W55" s="35" t="str">
        <x:v>忽略利害關係人</x:v>
      </x:c>
      <x:c r="X55" s="35" t="str">
        <x:v>把意見當證據</x:v>
      </x:c>
      <x:c r="Y55" s="35" t="str">
        <x:v>從航路、商品和競爭思考。</x:v>
      </x:c>
      <x:c r="Z55" s="35" t="str">
        <x:v>海防受重視，建省與建設強化治理</x:v>
      </x:c>
      <x:c r="AA55" s="35" t="str">
        <x:v>選能看見臺灣、鄰國與航線的區域圖</x:v>
      </x:c>
      <x:c r="AB55" s="35" t="str">
        <x:v>A</x:v>
      </x:c>
      <x:c r="AC55" s="35" t="str">
        <x:v>這是判斷「航海動機」時要使用的依據。航路位置與商業競爭能解釋多方進入臺灣；其他說法在地理或因果上不成立。</x:v>
      </x:c>
      <x:c r="AD55" s="35" t="str">
        <x:v>這是「清法戰爭與建省」的重點；本題要判斷的是「航海動機」，兩者不能互相代替。</x:v>
      </x:c>
      <x:c r="AE55" s="35" t="str">
        <x:v>這項知識屬於「地圖尺度」，無法支持本題的「航海動機」判斷。</x:v>
      </x:c>
      <x:c r="AF55" s="35" t="str">
        <x:v>分析企業選址時，也分開位置優勢與宣傳。</x:v>
      </x:c>
    </x:row>
    <x:row r="56" ht="76" customHeight="1">
      <x:c r="A56" s="35" t="str">
        <x:v>5A-U4</x:v>
      </x:c>
      <x:c r="B56" s="35" t="str">
        <x:v>五上</x:v>
      </x:c>
      <x:c r="C56" s="35" t="n">
        <x:v>4</x:v>
      </x:c>
      <x:c r="D56" s="35" t="str">
        <x:v>看見福爾摩沙</x:v>
      </x:c>
      <x:c r="E56" s="35" t="str">
        <x:v>5A-U4-O3</x:v>
      </x:c>
      <x:c r="F56" s="35" t="n">
        <x:v>7</x:v>
      </x:c>
      <x:c r="G56" s="35" t="str">
        <x:v>情境判斷</x:v>
      </x:c>
      <x:c r="H56" s="35" t="str">
        <x:v>要重建荷蘭、西班牙與鄭氏在臺活動。哪個答案最合理？</x:v>
      </x:c>
      <x:c r="I56" s="35" t="str">
        <x:v>南荷北西，後由鄭成功驅逐荷蘭</x:v>
      </x:c>
      <x:c r="J56" s="35" t="str">
        <x:v>鄭成功先驅逐荷蘭，荷蘭才首次抵臺</x:v>
      </x:c>
      <x:c r="K56" s="35" t="str">
        <x:v>西班牙只在南部，荷蘭只在北部</x:v>
      </x:c>
      <x:c r="L56" s="35" t="str">
        <x:v>港市帶動文化，但各族群影響不同</x:v>
      </x:c>
      <x:c r="M56" s="35" t="str">
        <x:v>A</x:v>
      </x:c>
      <x:c r="N56" s="35" t="str">
        <x:v>南荷北西，後由鄭成功驅逐荷蘭</x:v>
      </x:c>
      <x:c r="O56" s="35" t="str">
        <x:v>抓住南荷北西與 1662 年前後。</x:v>
      </x:c>
      <x:c r="P56" s="35" t="str">
        <x:v>事件需同時核對十七世紀先後和南北據點；錯置其中一項就會改變歷史解釋。</x:v>
      </x:c>
      <x:c r="Q56" s="35" t="str">
        <x:v>證據吻合。選項「南荷北西，後由鄭成功驅逐荷蘭」能把時序空間的線索合理連起來。</x:v>
      </x:c>
      <x:c r="R56" s="35" t="str">
        <x:v>這裡混淆了條件與結論。提示：抓住南荷北西與 1662 年前後。</x:v>
      </x:c>
      <x:c r="S56" s="35" t="str">
        <x:v>這項判斷忽略重要限制。請想想：抓住南荷北西與 1662 年前後。</x:v>
      </x:c>
      <x:c r="T56" s="35" t="str">
        <x:v>「港市帶動文化，但各族群影響不同」是「港市與文化」的重點，但不能回答本題的「時序空間」。請回看：抓住南荷北西與 1662 年前後。</x:v>
      </x:c>
      <x:c r="U56" s="35" t="str">
        <x:v>判斷正確</x:v>
      </x:c>
      <x:c r="V56" s="35" t="str">
        <x:v>單因推論</x:v>
      </x:c>
      <x:c r="W56" s="35" t="str">
        <x:v>證據不足</x:v>
      </x:c>
      <x:c r="X56" s="35" t="str">
        <x:v>忽略利害關係人</x:v>
      </x:c>
      <x:c r="Y56" s="35" t="str">
        <x:v>抓住南荷北西與 1662 年前後。</x:v>
      </x:c>
      <x:c r="Z56" s="35" t="str">
        <x:v>相關各方應依資料協商文化與保育</x:v>
      </x:c>
      <x:c r="AA56" s="35" t="str">
        <x:v>比較具體貢獻、限制與在地回應</x:v>
      </x:c>
      <x:c r="AB56" s="35" t="str">
        <x:v>A</x:v>
      </x:c>
      <x:c r="AC56" s="35" t="str">
        <x:v>這是判斷「時序空間」時要使用的依據。事件需同時核對十七世紀先後和南北據點；錯置其中一項就會改變歷史解釋。</x:v>
      </x:c>
      <x:c r="AD56" s="35" t="str">
        <x:v>這是「權利權衡」的重點；本題要判斷的是「時序空間」，兩者不能互相代替。</x:v>
      </x:c>
      <x:c r="AE56" s="35" t="str">
        <x:v>這項知識屬於「人物與交流」，無法支持本題的「時序空間」判斷。</x:v>
      </x:c>
      <x:c r="AF56" s="35" t="str">
        <x:v>做時間線時，每筆都標日期、地點和行動者。</x:v>
      </x:c>
    </x:row>
    <x:row r="57" ht="76" customHeight="1">
      <x:c r="A57" s="35" t="str">
        <x:v>5A-U4</x:v>
      </x:c>
      <x:c r="B57" s="35" t="str">
        <x:v>五上</x:v>
      </x:c>
      <x:c r="C57" s="35" t="n">
        <x:v>4</x:v>
      </x:c>
      <x:c r="D57" s="35" t="str">
        <x:v>看見福爾摩沙</x:v>
      </x:c>
      <x:c r="E57" s="35" t="str">
        <x:v>5A-U4-O3</x:v>
      </x:c>
      <x:c r="F57" s="35" t="n">
        <x:v>8</x:v>
      </x:c>
      <x:c r="G57" s="35" t="str">
        <x:v>證據判讀</x:v>
      </x:c>
      <x:c r="H57" s="35" t="str">
        <x:v>哪項資料最能支持「南荷北西，後由鄭成功驅逐荷蘭」？</x:v>
      </x:c>
      <x:c r="I57" s="35" t="str">
        <x:v>和題目直接有關的資料</x:v>
      </x:c>
      <x:c r="J57" s="35" t="str">
        <x:v>板塊交界造成多山與地震</x:v>
      </x:c>
      <x:c r="K57" s="35" t="str">
        <x:v>比較地形、風浪、泥沙與停靠條件</x:v>
      </x:c>
      <x:c r="L57" s="35" t="str">
        <x:v>遺物顯示可能已有農耕定居生活</x:v>
      </x:c>
      <x:c r="M57" s="35" t="str">
        <x:v>A</x:v>
      </x:c>
      <x:c r="N57" s="35" t="str">
        <x:v>和題目直接有關的資料</x:v>
      </x:c>
      <x:c r="O57" s="35" t="str">
        <x:v>抓住南荷北西與 1662 年前後。</x:v>
      </x:c>
      <x:c r="P57" s="35" t="str">
        <x:v>這題檢查的是證據能否直接支持「荷蘭在南部建立據點，西班牙經營北部，荷蘭逐走西班牙，後由鄭成功驅逐荷蘭」，不是文字長短或票數。事件需同時核對十七世紀先後和南北據點；錯置其中一項就會改變歷史解釋。</x:v>
      </x:c>
      <x:c r="Q57" s="35" t="str">
        <x:v>答對了；「和題目直接有關的資料」同時保留了時序空間需要的範圍與限制。</x:v>
      </x:c>
      <x:c r="R57" s="35" t="str">
        <x:v>「板塊交界造成多山與地震」是「板塊與地形」的重點，但不能回答本題的「時序空間」。請回看：抓住南荷北西與 1662 年前後。</x:v>
      </x:c>
      <x:c r="S57" s="35" t="str">
        <x:v>「比較地形、風浪、泥沙與停靠條件」是「海岸變遷」的重點，但不能回答本題的「時序空間」。請回看：抓住南荷北西與 1662 年前後。</x:v>
      </x:c>
      <x:c r="T57" s="35" t="str">
        <x:v>「遺物顯示可能已有農耕定居生活」是「史前證據」的重點，但不能回答本題的「時序空間」。請回看：抓住南荷北西與 1662 年前後。</x:v>
      </x:c>
      <x:c r="U57" s="35" t="str">
        <x:v>判斷正確</x:v>
      </x:c>
      <x:c r="V57" s="35" t="str">
        <x:v>證據不足</x:v>
      </x:c>
      <x:c r="W57" s="35" t="str">
        <x:v>忽略利害關係人</x:v>
      </x:c>
      <x:c r="X57" s="35" t="str">
        <x:v>把意見當證據</x:v>
      </x:c>
      <x:c r="Y57" s="35" t="str">
        <x:v>抓住南荷北西與 1662 年前後。</x:v>
      </x:c>
      <x:c r="Z57" s="35" t="str">
        <x:v>通商壓力、物產與航路共同促成開港</x:v>
      </x:c>
      <x:c r="AA57" s="35" t="str">
        <x:v>比較對象、程度、證據與改善方法</x:v>
      </x:c>
      <x:c r="AB57" s="35" t="str">
        <x:v>A</x:v>
      </x:c>
      <x:c r="AC57" s="35" t="str">
        <x:v>這是判斷「時序空間」時要使用的依據。事件需同時核對十七世紀先後和南北據點；錯置其中一項就會改變歷史解釋。</x:v>
      </x:c>
      <x:c r="AD57" s="35" t="str">
        <x:v>這是「開港背景」的重點；本題要判斷的是「時序空間」，兩者不能互相代替。</x:v>
      </x:c>
      <x:c r="AE57" s="35" t="str">
        <x:v>這項知識屬於「分析權衡」，無法支持本題的「時序空間」判斷。</x:v>
      </x:c>
      <x:c r="AF57" s="35" t="str">
        <x:v>做時間線時，每筆都標日期、地點和行動者。</x:v>
      </x:c>
    </x:row>
    <x:row r="58" ht="76" customHeight="1">
      <x:c r="A58" s="35" t="str">
        <x:v>5A-U4</x:v>
      </x:c>
      <x:c r="B58" s="35" t="str">
        <x:v>五上</x:v>
      </x:c>
      <x:c r="C58" s="35" t="n">
        <x:v>4</x:v>
      </x:c>
      <x:c r="D58" s="35" t="str">
        <x:v>看見福爾摩沙</x:v>
      </x:c>
      <x:c r="E58" s="35" t="str">
        <x:v>5A-U4-O3</x:v>
      </x:c>
      <x:c r="F58" s="35" t="n">
        <x:v>9</x:v>
      </x:c>
      <x:c r="G58" s="35" t="str">
        <x:v>迷思修正</x:v>
      </x:c>
      <x:c r="H58" s="35" t="str">
        <x:v>有人說：「鄭成功先驅逐荷蘭，荷蘭才首次抵臺」哪個答案能改正這個說法？</x:v>
      </x:c>
      <x:c r="I58" s="35" t="str">
        <x:v>南荷北西，後由鄭成功驅逐荷蘭</x:v>
      </x:c>
      <x:c r="J58" s="35" t="str">
        <x:v>通商壓力、物產與航路共同促成開港</x:v>
      </x:c>
      <x:c r="K58" s="35" t="str">
        <x:v>商品與港口帶動北部市鎮發展</x:v>
      </x:c>
      <x:c r="L58" s="35" t="str">
        <x:v>比較具體貢獻、限制與在地回應</x:v>
      </x:c>
      <x:c r="M58" s="35" t="str">
        <x:v>A</x:v>
      </x:c>
      <x:c r="N58" s="35" t="str">
        <x:v>南荷北西，後由鄭成功驅逐荷蘭</x:v>
      </x:c>
      <x:c r="O58" s="35" t="str">
        <x:v>抓住南荷北西與 1662 年前後。</x:v>
      </x:c>
      <x:c r="P58" s="35" t="str">
        <x:v>迷思「鄭成功先驅逐荷蘭，荷蘭才首次抵臺」的問題，是它沒有處理「要重建荷蘭、西班牙與鄭氏在臺活動」提供的關鍵條件。事件需同時核對十七世紀先後和南北據點；錯置其中一項就會改變歷史解釋。</x:v>
      </x:c>
      <x:c r="Q58" s="35" t="str">
        <x:v>你的判讀可被查證：南荷北西，後由鄭成功驅逐荷蘭。這正是時序空間要比較的核心。</x:v>
      </x:c>
      <x:c r="R58" s="35" t="str">
        <x:v>「通商壓力、物產與航路共同促成開港」是「開港背景」的重點，但不能回答本題的「時序空間」。請回看：抓住南荷北西與 1662 年前後。</x:v>
      </x:c>
      <x:c r="S58" s="35" t="str">
        <x:v>「商品與港口帶動北部市鎮發展」是「經濟北移」的重點，但不能回答本題的「時序空間」。請回看：抓住南荷北西與 1662 年前後。</x:v>
      </x:c>
      <x:c r="T58" s="35" t="str">
        <x:v>「比較具體貢獻、限制與在地回應」是「人物與交流」的重點，但不能回答本題的「時序空間」。請回看：抓住南荷北西與 1662 年前後。</x:v>
      </x:c>
      <x:c r="U58" s="35" t="str">
        <x:v>判斷正確</x:v>
      </x:c>
      <x:c r="V58" s="35" t="str">
        <x:v>忽略利害關係人</x:v>
      </x:c>
      <x:c r="W58" s="35" t="str">
        <x:v>把意見當證據</x:v>
      </x:c>
      <x:c r="X58" s="35" t="str">
        <x:v>位置錯置</x:v>
      </x:c>
      <x:c r="Y58" s="35" t="str">
        <x:v>抓住南荷北西與 1662 年前後。</x:v>
      </x:c>
      <x:c r="Z58" s="35" t="str">
        <x:v>保存證據，再循正式管道申訴</x:v>
      </x:c>
      <x:c r="AA58" s="35" t="str">
        <x:v>規範可調整，互助目的仍保留</x:v>
      </x:c>
      <x:c r="AB58" s="35" t="str">
        <x:v>A</x:v>
      </x:c>
      <x:c r="AC58" s="35" t="str">
        <x:v>這是判斷「時序空間」時要使用的依據。事件需同時核對十七世紀先後和南北據點；錯置其中一項就會改變歷史解釋。</x:v>
      </x:c>
      <x:c r="AD58" s="35" t="str">
        <x:v>這是「消費權益」的重點；本題要判斷的是「時序空間」，兩者不能互相代替。</x:v>
      </x:c>
      <x:c r="AE58" s="35" t="str">
        <x:v>這項知識屬於「規範變遷」，無法支持本題的「時序空間」判斷。</x:v>
      </x:c>
      <x:c r="AF58" s="35" t="str">
        <x:v>做時間線時，每筆都標日期、地點和行動者。</x:v>
      </x:c>
    </x:row>
    <x:row r="59" ht="76" customHeight="1">
      <x:c r="A59" s="35" t="str">
        <x:v>5A-U4</x:v>
      </x:c>
      <x:c r="B59" s="35" t="str">
        <x:v>五上</x:v>
      </x:c>
      <x:c r="C59" s="35" t="n">
        <x:v>4</x:v>
      </x:c>
      <x:c r="D59" s="35" t="str">
        <x:v>看見福爾摩沙</x:v>
      </x:c>
      <x:c r="E59" s="35" t="str">
        <x:v>5A-U4-O4</x:v>
      </x:c>
      <x:c r="F59" s="35" t="n">
        <x:v>10</x:v>
      </x:c>
      <x:c r="G59" s="35" t="str">
        <x:v>情境判斷</x:v>
      </x:c>
      <x:c r="H59" s="35" t="str">
        <x:v>同一場衝突，殖民者稱為平定，地方口述稱為抵抗。哪個答案最合理？</x:v>
      </x:c>
      <x:c r="I59" s="35" t="str">
        <x:v>比較雙方立場、目的與證據</x:v>
      </x:c>
      <x:c r="J59" s="35" t="str">
        <x:v>選字較短的一方當真相</x:v>
      </x:c>
      <x:c r="K59" s="35" t="str">
        <x:v>把口述全部當傳說刪掉</x:v>
      </x:c>
      <x:c r="L59" s="35" t="str">
        <x:v>用共同指標比較各能源的代價</x:v>
      </x:c>
      <x:c r="M59" s="35" t="str">
        <x:v>A</x:v>
      </x:c>
      <x:c r="N59" s="35" t="str">
        <x:v>比較雙方立場、目的與證據</x:v>
      </x:c>
      <x:c r="O59" s="35" t="str">
        <x:v>問誰在命名、根據什麼。</x:v>
      </x:c>
      <x:c r="P59" s="35" t="str">
        <x:v>用詞反映權力與立場，差異本身就是史料；應比較來源而非先消除異議。</x:v>
      </x:c>
      <x:c r="Q59" s="35" t="str">
        <x:v>答對了；「比較雙方立場、目的與證據」同時保留了多元觀點需要的範圍與限制。</x:v>
      </x:c>
      <x:c r="R59" s="35" t="str">
        <x:v>這項判斷忽略重要限制。請想想：問誰在命名、根據什麼。</x:v>
      </x:c>
      <x:c r="S59" s="35" t="str">
        <x:v>焦點放錯了。請回看：問誰在命名、根據什麼。</x:v>
      </x:c>
      <x:c r="T59" s="35" t="str">
        <x:v>「用共同指標比較各能源的代價」是「能源代價」的重點，但不能回答本題的「多元觀點」。請回看：問誰在命名、根據什麼。</x:v>
      </x:c>
      <x:c r="U59" s="35" t="str">
        <x:v>判斷正確</x:v>
      </x:c>
      <x:c r="V59" s="35" t="str">
        <x:v>證據不足</x:v>
      </x:c>
      <x:c r="W59" s="35" t="str">
        <x:v>忽略利害關係人</x:v>
      </x:c>
      <x:c r="X59" s="35" t="str">
        <x:v>把意見當證據</x:v>
      </x:c>
      <x:c r="Y59" s="35" t="str">
        <x:v>問誰在命名、根據什麼。</x:v>
      </x:c>
      <x:c r="Z59" s="35" t="str">
        <x:v>結合檔案、觀察與多方訪談</x:v>
      </x:c>
      <x:c r="AA59" s="35" t="str">
        <x:v>風險分配與居民參與需要公平</x:v>
      </x:c>
      <x:c r="AB59" s="35" t="str">
        <x:v>A</x:v>
      </x:c>
      <x:c r="AC59" s="35" t="str">
        <x:v>這是判斷「多元觀點」時要使用的依據。用詞反映權力與立場，差異本身就是史料；應比較來源而非先消除異議。</x:v>
      </x:c>
      <x:c r="AD59" s="35" t="str">
        <x:v>這是「多元資料」的重點；本題要判斷的是「多元觀點」，兩者不能互相代替。</x:v>
      </x:c>
      <x:c r="AE59" s="35" t="str">
        <x:v>這項知識屬於「環境正義」，無法支持本題的「多元觀點」判斷。</x:v>
      </x:c>
      <x:c r="AF59" s="35" t="str">
        <x:v>讀新聞時比較不同媒體如何描述同一事件。</x:v>
      </x:c>
    </x:row>
    <x:row r="60" ht="76" customHeight="1">
      <x:c r="A60" s="35" t="str">
        <x:v>5A-U4</x:v>
      </x:c>
      <x:c r="B60" s="35" t="str">
        <x:v>五上</x:v>
      </x:c>
      <x:c r="C60" s="35" t="n">
        <x:v>4</x:v>
      </x:c>
      <x:c r="D60" s="35" t="str">
        <x:v>看見福爾摩沙</x:v>
      </x:c>
      <x:c r="E60" s="35" t="str">
        <x:v>5A-U4-O4</x:v>
      </x:c>
      <x:c r="F60" s="35" t="n">
        <x:v>11</x:v>
      </x:c>
      <x:c r="G60" s="35" t="str">
        <x:v>證據判讀</x:v>
      </x:c>
      <x:c r="H60" s="35" t="str">
        <x:v>哪項資料最能支持「比較雙方立場、目的與證據」？</x:v>
      </x:c>
      <x:c r="I60" s="35" t="str">
        <x:v>和題目直接有關的資料</x:v>
      </x:c>
      <x:c r="J60" s="35" t="str">
        <x:v>比較供應、動物、傳染病與廢水管理</x:v>
      </x:c>
      <x:c r="K60" s="35" t="str">
        <x:v>設禁漁期、尺寸限制並協助轉型</x:v>
      </x:c>
      <x:c r="L60" s="35" t="str">
        <x:v>查明進口木材是否來自永續來源</x:v>
      </x:c>
      <x:c r="M60" s="35" t="str">
        <x:v>A</x:v>
      </x:c>
      <x:c r="N60" s="35" t="str">
        <x:v>和題目直接有關的資料</x:v>
      </x:c>
      <x:c r="O60" s="35" t="str">
        <x:v>問誰在命名、根據什麼。</x:v>
      </x:c>
      <x:c r="P60" s="35" t="str">
        <x:v>這題檢查的是證據能否直接支持「保留兩種用語，查各自立場、目的與支持證據」，不是文字長短或票數。用詞反映權力與立場，差異本身就是史料；應比較來源而非先消除異議。</x:v>
      </x:c>
      <x:c r="Q60" s="35" t="str">
        <x:v>你的判讀可被查證：和題目直接有關的資料。這正是多元觀點要比較的核心。</x:v>
      </x:c>
      <x:c r="R60" s="35" t="str">
        <x:v>「比較供應、動物、傳染病與廢水管理」是「畜牧權衡」的重點，但不能回答本題的「多元觀點」。請回看：問誰在命名、根據什麼。</x:v>
      </x:c>
      <x:c r="S60" s="35" t="str">
        <x:v>「設禁漁期、尺寸限制並協助轉型」是「永續漁業」的重點，但不能回答本題的「多元觀點」。請回看：問誰在命名、根據什麼。</x:v>
      </x:c>
      <x:c r="T60" s="35" t="str">
        <x:v>「查明進口木材是否來自永續來源」是「森林供應鏈」的重點，但不能回答本題的「多元觀點」。請回看：問誰在命名、根據什麼。</x:v>
      </x:c>
      <x:c r="U60" s="35" t="str">
        <x:v>判斷正確</x:v>
      </x:c>
      <x:c r="V60" s="35" t="str">
        <x:v>忽略利害關係人</x:v>
      </x:c>
      <x:c r="W60" s="35" t="str">
        <x:v>把意見當證據</x:v>
      </x:c>
      <x:c r="X60" s="35" t="str">
        <x:v>位置錯置</x:v>
      </x:c>
      <x:c r="Y60" s="35" t="str">
        <x:v>問誰在命名、根據什麼。</x:v>
      </x:c>
      <x:c r="Z60" s="35" t="str">
        <x:v>依地理條件發展能源並評估影響</x:v>
      </x:c>
      <x:c r="AA60" s="35" t="str">
        <x:v>遺物顯示可能已有農耕定居生活</x:v>
      </x:c>
      <x:c r="AB60" s="35" t="str">
        <x:v>A</x:v>
      </x:c>
      <x:c r="AC60" s="35" t="str">
        <x:v>這是判斷「多元觀點」時要使用的依據。用詞反映權力與立場，差異本身就是史料；應比較來源而非先消除異議。</x:v>
      </x:c>
      <x:c r="AD60" s="35" t="str">
        <x:v>這是「地理配對」的重點；本題要判斷的是「多元觀點」，兩者不能互相代替。</x:v>
      </x:c>
      <x:c r="AE60" s="35" t="str">
        <x:v>這項知識屬於「史前證據」，無法支持本題的「多元觀點」判斷。</x:v>
      </x:c>
      <x:c r="AF60" s="35" t="str">
        <x:v>讀新聞時比較不同媒體如何描述同一事件。</x:v>
      </x:c>
    </x:row>
    <x:row r="61" ht="76" customHeight="1">
      <x:c r="A61" s="35" t="str">
        <x:v>5A-U4</x:v>
      </x:c>
      <x:c r="B61" s="35" t="str">
        <x:v>五上</x:v>
      </x:c>
      <x:c r="C61" s="35" t="n">
        <x:v>4</x:v>
      </x:c>
      <x:c r="D61" s="35" t="str">
        <x:v>看見福爾摩沙</x:v>
      </x:c>
      <x:c r="E61" s="35" t="str">
        <x:v>5A-U4-O4</x:v>
      </x:c>
      <x:c r="F61" s="35" t="n">
        <x:v>12</x:v>
      </x:c>
      <x:c r="G61" s="35" t="str">
        <x:v>迷思修正</x:v>
      </x:c>
      <x:c r="H61" s="35" t="str">
        <x:v>有人說：「選字較短的一方當真相」哪個答案能改正這個說法？</x:v>
      </x:c>
      <x:c r="I61" s="35" t="str">
        <x:v>比較雙方立場、目的與證據</x:v>
      </x:c>
      <x:c r="J61" s="35" t="str">
        <x:v>風險分配與居民參與需要公平</x:v>
      </x:c>
      <x:c r="K61" s="35" t="str">
        <x:v>停止交易並改用官方查證與付款</x:v>
      </x:c>
      <x:c r="L61" s="35" t="str">
        <x:v>保存證據，再循正式管道申訴</x:v>
      </x:c>
      <x:c r="M61" s="35" t="str">
        <x:v>A</x:v>
      </x:c>
      <x:c r="N61" s="35" t="str">
        <x:v>比較雙方立場、目的與證據</x:v>
      </x:c>
      <x:c r="O61" s="35" t="str">
        <x:v>問誰在命名、根據什麼。</x:v>
      </x:c>
      <x:c r="P61" s="35" t="str">
        <x:v>迷思「選字較短的一方當真相」的問題，是它沒有處理「同一場衝突，殖民者稱為平定，地方口述稱為抵抗」提供的關鍵條件。用詞反映權力與立場，差異本身就是史料；應比較來源而非先消除異議。</x:v>
      </x:c>
      <x:c r="Q61" s="35" t="str">
        <x:v>判斷精準。「比較雙方立場、目的與證據」直接回應多元觀點，推論沒有超過資料。</x:v>
      </x:c>
      <x:c r="R61" s="35" t="str">
        <x:v>「風險分配與居民參與需要公平」是「環境正義」的重點，但不能回答本題的「多元觀點」。請回看：問誰在命名、根據什麼。</x:v>
      </x:c>
      <x:c r="S61" s="35" t="str">
        <x:v>「停止交易並改用官方查證與付款」是「消費安全」的重點，但不能回答本題的「多元觀點」。請回看：問誰在命名、根據什麼。</x:v>
      </x:c>
      <x:c r="T61" s="35" t="str">
        <x:v>「保存證據，再循正式管道申訴」是「消費權益」的重點，但不能回答本題的「多元觀點」。請回看：問誰在命名、根據什麼。</x:v>
      </x:c>
      <x:c r="U61" s="35" t="str">
        <x:v>判斷正確</x:v>
      </x:c>
      <x:c r="V61" s="35" t="str">
        <x:v>把意見當證據</x:v>
      </x:c>
      <x:c r="W61" s="35" t="str">
        <x:v>位置錯置</x:v>
      </x:c>
      <x:c r="X61" s="35" t="str">
        <x:v>忽略時空脈絡</x:v>
      </x:c>
      <x:c r="Y61" s="35" t="str">
        <x:v>問誰在命名、根據什麼。</x:v>
      </x:c>
      <x:c r="Z61" s="35" t="str">
        <x:v>用共同目標與相同標準調整方案</x:v>
      </x:c>
      <x:c r="AA61" s="35" t="str">
        <x:v>聚焦特定海岸、時間與不同觀點</x:v>
      </x:c>
      <x:c r="AB61" s="35" t="str">
        <x:v>A</x:v>
      </x:c>
      <x:c r="AC61" s="35" t="str">
        <x:v>這是判斷「多元觀點」時要使用的依據。用詞反映權力與立場，差異本身就是史料；應比較來源而非先消除異議。</x:v>
      </x:c>
      <x:c r="AD61" s="35" t="str">
        <x:v>這是「共識與程序」的重點；本題要判斷的是「多元觀點」，兩者不能互相代替。</x:v>
      </x:c>
      <x:c r="AE61" s="35" t="str">
        <x:v>這項知識屬於「問題形成」，無法支持本題的「多元觀點」判斷。</x:v>
      </x:c>
      <x:c r="AF61" s="35" t="str">
        <x:v>讀新聞時比較不同媒體如何描述同一事件。</x:v>
      </x:c>
    </x:row>
    <x:row r="62" ht="76" customHeight="1">
      <x:c r="A62" s="35" t="str">
        <x:v>5A-U4</x:v>
      </x:c>
      <x:c r="B62" s="35" t="str">
        <x:v>五上</x:v>
      </x:c>
      <x:c r="C62" s="35" t="n">
        <x:v>4</x:v>
      </x:c>
      <x:c r="D62" s="35" t="str">
        <x:v>看見福爾摩沙</x:v>
      </x:c>
      <x:c r="E62" s="35" t="str">
        <x:v>5A-U4-O5</x:v>
      </x:c>
      <x:c r="F62" s="35" t="n">
        <x:v>13</x:v>
      </x:c>
      <x:c r="G62" s="35" t="str">
        <x:v>情境判斷</x:v>
      </x:c>
      <x:c r="H62" s="35" t="str">
        <x:v>荷蘭時期擴大農產與對外貿易。哪個答案最合理？</x:v>
      </x:c>
      <x:c r="I62" s="35" t="str">
        <x:v>貿易增加，也改變土地與族群關係</x:v>
      </x:c>
      <x:c r="J62" s="35" t="str">
        <x:v>只有商品變多，社會完全不變</x:v>
      </x:c>
      <x:c r="K62" s="35" t="str">
        <x:v>所有居民同樣獲利且沒有衝突</x:v>
      </x:c>
      <x:c r="L62" s="35" t="str">
        <x:v>比較對象、程度、證據與改善方法</x:v>
      </x:c>
      <x:c r="M62" s="35" t="str">
        <x:v>A</x:v>
      </x:c>
      <x:c r="N62" s="35" t="str">
        <x:v>貿易增加，也改變土地與族群關係</x:v>
      </x:c>
      <x:c r="O62" s="35" t="str">
        <x:v>不要只看貨物，也看生產者與權力。</x:v>
      </x:c>
      <x:c r="P62" s="35" t="str">
        <x:v>貿易會牽動生產、土地和權力，合作、利益與衝突可能同時出現。</x:v>
      </x:c>
      <x:c r="Q62" s="35" t="str">
        <x:v>你的判讀可被查證：貿易增加，也改變土地與族群關係。這正是貿易影響要比較的核心。</x:v>
      </x:c>
      <x:c r="R62" s="35" t="str">
        <x:v>焦點放錯了。請回看：不要只看貨物，也看生產者與權力。</x:v>
      </x:c>
      <x:c r="S62" s="35" t="str">
        <x:v>這項推論缺少證據。請確認：不要只看貨物，也看生產者與權力。</x:v>
      </x:c>
      <x:c r="T62" s="35" t="str">
        <x:v>「比較對象、程度、證據與改善方法」是「分析權衡」的重點，但不能回答本題的「貿易影響」。請回看：不要只看貨物，也看生產者與權力。</x:v>
      </x:c>
      <x:c r="U62" s="35" t="str">
        <x:v>判斷正確</x:v>
      </x:c>
      <x:c r="V62" s="35" t="str">
        <x:v>忽略利害關係人</x:v>
      </x:c>
      <x:c r="W62" s="35" t="str">
        <x:v>把意見當證據</x:v>
      </x:c>
      <x:c r="X62" s="35" t="str">
        <x:v>位置錯置</x:v>
      </x:c>
      <x:c r="Y62" s="35" t="str">
        <x:v>不要只看貨物，也看生產者與權力。</x:v>
      </x:c>
      <x:c r="Z62" s="35" t="str">
        <x:v>分析資源、語言、組織與治理</x:v>
      </x:c>
      <x:c r="AA62" s="35" t="str">
        <x:v>比較設置前後的發電、用電與環境</x:v>
      </x:c>
      <x:c r="AB62" s="35" t="str">
        <x:v>A</x:v>
      </x:c>
      <x:c r="AC62" s="35" t="str">
        <x:v>這是判斷「貿易影響」時要使用的依據。貿易會牽動生產、土地和權力，合作、利益與衝突可能同時出現。</x:v>
      </x:c>
      <x:c r="AD62" s="35" t="str">
        <x:v>這是「族群衝突」的重點；本題要判斷的是「貿易影響」，兩者不能互相代替。</x:v>
      </x:c>
      <x:c r="AE62" s="35" t="str">
        <x:v>這項知識屬於「能源提問」，無法支持本題的「貿易影響」判斷。</x:v>
      </x:c>
      <x:c r="AF62" s="35" t="str">
        <x:v>分析開發案時，列出受益者與承擔成本者。</x:v>
      </x:c>
    </x:row>
    <x:row r="63" ht="76" customHeight="1">
      <x:c r="A63" s="35" t="str">
        <x:v>5A-U4</x:v>
      </x:c>
      <x:c r="B63" s="35" t="str">
        <x:v>五上</x:v>
      </x:c>
      <x:c r="C63" s="35" t="n">
        <x:v>4</x:v>
      </x:c>
      <x:c r="D63" s="35" t="str">
        <x:v>看見福爾摩沙</x:v>
      </x:c>
      <x:c r="E63" s="35" t="str">
        <x:v>5A-U4-O5</x:v>
      </x:c>
      <x:c r="F63" s="35" t="n">
        <x:v>14</x:v>
      </x:c>
      <x:c r="G63" s="35" t="str">
        <x:v>證據判讀</x:v>
      </x:c>
      <x:c r="H63" s="35" t="str">
        <x:v>哪項資料最能支持「貿易增加，也改變土地與族群關係」？</x:v>
      </x:c>
      <x:c r="I63" s="35" t="str">
        <x:v>和題目直接有關的資料</x:v>
      </x:c>
      <x:c r="J63" s="35" t="str">
        <x:v>季風影響航程與風險，但不保證安全</x:v>
      </x:c>
      <x:c r="K63" s="35" t="str">
        <x:v>合作修水圳，訂分水與維修規則</x:v>
      </x:c>
      <x:c r="L63" s="35" t="str">
        <x:v>生活、機會與政策共同影響移動</x:v>
      </x:c>
      <x:c r="M63" s="35" t="str">
        <x:v>A</x:v>
      </x:c>
      <x:c r="N63" s="35" t="str">
        <x:v>和題目直接有關的資料</x:v>
      </x:c>
      <x:c r="O63" s="35" t="str">
        <x:v>不要只看貨物，也看生產者與權力。</x:v>
      </x:c>
      <x:c r="P63" s="35" t="str">
        <x:v>這題檢查的是證據能否直接支持「增加國際連結與生產，也改變土地、勞動及族群關係」，不是文字長短或票數。貿易會牽動生產、土地和權力，合作、利益與衝突可能同時出現。</x:v>
      </x:c>
      <x:c r="Q63" s="35" t="str">
        <x:v>判斷精準。「和題目直接有關的資料」直接回應貿易影響，推論沒有超過資料。</x:v>
      </x:c>
      <x:c r="R63" s="35" t="str">
        <x:v>「季風影響航程與風險，但不保證安全」是「移民與季風」的重點，但不能回答本題的「貿易影響」。請回看：不要只看貨物，也看生產者與權力。</x:v>
      </x:c>
      <x:c r="S63" s="35" t="str">
        <x:v>「合作修水圳，訂分水與維修規則」是「水利開墾」的重點，但不能回答本題的「貿易影響」。請回看：不要只看貨物，也看生產者與權力。</x:v>
      </x:c>
      <x:c r="T63" s="35" t="str">
        <x:v>「生活、機會與政策共同影響移動」是「遷移原因」的重點，但不能回答本題的「貿易影響」。請回看：不要只看貨物，也看生產者與權力。</x:v>
      </x:c>
      <x:c r="U63" s="35" t="str">
        <x:v>判斷正確</x:v>
      </x:c>
      <x:c r="V63" s="35" t="str">
        <x:v>把意見當證據</x:v>
      </x:c>
      <x:c r="W63" s="35" t="str">
        <x:v>位置錯置</x:v>
      </x:c>
      <x:c r="X63" s="35" t="str">
        <x:v>忽略時空脈絡</x:v>
      </x:c>
      <x:c r="Y63" s="35" t="str">
        <x:v>不要只看貨物，也看生產者與權力。</x:v>
      </x:c>
      <x:c r="Z63" s="35" t="str">
        <x:v>設計耐用可修產品並回收再製</x:v>
      </x:c>
      <x:c r="AA63" s="35" t="str">
        <x:v>比較供應、動物、傳染病與廢水管理</x:v>
      </x:c>
      <x:c r="AB63" s="35" t="str">
        <x:v>A</x:v>
      </x:c>
      <x:c r="AC63" s="35" t="str">
        <x:v>這是判斷「貿易影響」時要使用的依據。貿易會牽動生產、土地和權力，合作、利益與衝突可能同時出現。</x:v>
      </x:c>
      <x:c r="AD63" s="35" t="str">
        <x:v>這是「循環經濟」的重點；本題要判斷的是「貿易影響」，兩者不能互相代替。</x:v>
      </x:c>
      <x:c r="AE63" s="35" t="str">
        <x:v>這項知識屬於「畜牧權衡」，無法支持本題的「貿易影響」判斷。</x:v>
      </x:c>
      <x:c r="AF63" s="35" t="str">
        <x:v>分析開發案時，列出受益者與承擔成本者。</x:v>
      </x:c>
    </x:row>
    <x:row r="64" ht="76" customHeight="1">
      <x:c r="A64" s="35" t="str">
        <x:v>5A-U4</x:v>
      </x:c>
      <x:c r="B64" s="35" t="str">
        <x:v>五上</x:v>
      </x:c>
      <x:c r="C64" s="35" t="n">
        <x:v>4</x:v>
      </x:c>
      <x:c r="D64" s="35" t="str">
        <x:v>看見福爾摩沙</x:v>
      </x:c>
      <x:c r="E64" s="35" t="str">
        <x:v>5A-U4-O5</x:v>
      </x:c>
      <x:c r="F64" s="35" t="n">
        <x:v>15</x:v>
      </x:c>
      <x:c r="G64" s="35" t="str">
        <x:v>迷思修正</x:v>
      </x:c>
      <x:c r="H64" s="35" t="str">
        <x:v>有人說：「只有商品變多，社會完全不變」哪個答案能改正這個說法？</x:v>
      </x:c>
      <x:c r="I64" s="35" t="str">
        <x:v>貿易增加，也改變土地與族群關係</x:v>
      </x:c>
      <x:c r="J64" s="35" t="str">
        <x:v>用共同目標與相同標準調整方案</x:v>
      </x:c>
      <x:c r="K64" s="35" t="str">
        <x:v>設基準與措施，四週後同指標比較</x:v>
      </x:c>
      <x:c r="L64" s="35" t="str">
        <x:v>臺灣是遷徙與交流的中繼點</x:v>
      </x:c>
      <x:c r="M64" s="35" t="str">
        <x:v>A</x:v>
      </x:c>
      <x:c r="N64" s="35" t="str">
        <x:v>貿易增加，也改變土地與族群關係</x:v>
      </x:c>
      <x:c r="O64" s="35" t="str">
        <x:v>不要只看貨物，也看生產者與權力。</x:v>
      </x:c>
      <x:c r="P64" s="35" t="str">
        <x:v>迷思「只有商品變多，社會完全不變」的問題，是它沒有處理「荷蘭時期擴大農產與對外貿易」提供的關鍵條件。貿易會牽動生產、土地和權力，合作、利益與衝突可能同時出現。</x:v>
      </x:c>
      <x:c r="Q64" s="35" t="str">
        <x:v>這項選擇成立：貿易增加，也改變土地與族群關係。它抓住貿易影響的關鍵條件。</x:v>
      </x:c>
      <x:c r="R64" s="35" t="str">
        <x:v>「用共同目標與相同標準調整方案」是「共識與程序」的重點，但不能回答本題的「貿易影響」。請回看：不要只看貨物，也看生產者與權力。</x:v>
      </x:c>
      <x:c r="S64" s="35" t="str">
        <x:v>「設基準與措施，四週後同指標比較」是「行動評估」的重點，但不能回答本題的「貿易影響」。請回看：不要只看貨物，也看生產者與權力。</x:v>
      </x:c>
      <x:c r="T64" s="35" t="str">
        <x:v>「臺灣是遷徙與交流的中繼點」是「位置與交流」的重點，但不能回答本題的「貿易影響」。請回看：不要只看貨物，也看生產者與權力。</x:v>
      </x:c>
      <x:c r="U64" s="35" t="str">
        <x:v>判斷正確</x:v>
      </x:c>
      <x:c r="V64" s="35" t="str">
        <x:v>位置錯置</x:v>
      </x:c>
      <x:c r="W64" s="35" t="str">
        <x:v>忽略時空脈絡</x:v>
      </x:c>
      <x:c r="X64" s="35" t="str">
        <x:v>過度概括</x:v>
      </x:c>
      <x:c r="Y64" s="35" t="str">
        <x:v>不要只看貨物，也看生產者與權力。</x:v>
      </x:c>
      <x:c r="Z64" s="35" t="str">
        <x:v>環境、季節與歷史共同影響生活</x:v>
      </x:c>
      <x:c r="AA64" s="35" t="str">
        <x:v>分析資源、語言、組織與治理</x:v>
      </x:c>
      <x:c r="AB64" s="35" t="str">
        <x:v>A</x:v>
      </x:c>
      <x:c r="AC64" s="35" t="str">
        <x:v>這是判斷「貿易影響」時要使用的依據。貿易會牽動生產、土地和權力，合作、利益與衝突可能同時出現。</x:v>
      </x:c>
      <x:c r="AD64" s="35" t="str">
        <x:v>這是「環境與生活」的重點；本題要判斷的是「貿易影響」，兩者不能互相代替。</x:v>
      </x:c>
      <x:c r="AE64" s="35" t="str">
        <x:v>這項知識屬於「族群衝突」，無法支持本題的「貿易影響」判斷。</x:v>
      </x:c>
      <x:c r="AF64" s="35" t="str">
        <x:v>分析開發案時，列出受益者與承擔成本者。</x:v>
      </x:c>
    </x:row>
    <x:row r="65" ht="76" customHeight="1">
      <x:c r="A65" s="34" t="str">
        <x:v>5A-U5</x:v>
      </x:c>
      <x:c r="B65" s="34" t="str">
        <x:v>五上</x:v>
      </x:c>
      <x:c r="C65" s="34" t="n">
        <x:v>5</x:v>
      </x:c>
      <x:c r="D65" s="34" t="str">
        <x:v>發現臺灣之美</x:v>
      </x:c>
      <x:c r="E65" s="34" t="str">
        <x:v>5A-U5-O1</x:v>
      </x:c>
      <x:c r="F65" s="34" t="n">
        <x:v>1</x:v>
      </x:c>
      <x:c r="G65" s="34" t="str">
        <x:v>情境判斷</x:v>
      </x:c>
      <x:c r="H65" s="34" t="str">
        <x:v>小組想研究『臺灣很美嗎』，但範圍太大。哪個答案最合理？</x:v>
      </x:c>
      <x:c r="I65" s="34" t="str">
        <x:v>聚焦特定海岸、時間與不同觀點</x:v>
      </x:c>
      <x:c r="J65" s="34" t="str">
        <x:v>全世界最喜歡哪個地方</x:v>
      </x:c>
      <x:c r="K65" s="34" t="str">
        <x:v>臺灣是不是永遠最漂亮</x:v>
      </x:c>
      <x:c r="L65" s="34" t="str">
        <x:v>分析資源、語言、組織與治理</x:v>
      </x:c>
      <x:c r="M65" s="34" t="str">
        <x:v>A</x:v>
      </x:c>
      <x:c r="N65" s="34" t="str">
        <x:v>聚焦特定海岸、時間與不同觀點</x:v>
      </x:c>
      <x:c r="O65" s="34" t="str">
        <x:v>把大題目縮成可觀察的時空範圍。</x:v>
      </x:c>
      <x:c r="P65" s="34" t="str">
        <x:v>可探究問題要有地點、時間、變化與資料對象，才能蒐證而不只是表態。</x:v>
      </x:c>
      <x:c r="Q65" s="34" t="str">
        <x:v>判斷精準。「聚焦特定海岸、時間與不同觀點」直接回應問題形成，推論沒有超過資料。</x:v>
      </x:c>
      <x:c r="R65" s="34" t="str">
        <x:v>這項推論缺少證據。請確認：把大題目縮成可觀察的時空範圍。</x:v>
      </x:c>
      <x:c r="S65" s="34" t="str">
        <x:v>選項和題意關係較弱。提示：把大題目縮成可觀察的時空範圍。</x:v>
      </x:c>
      <x:c r="T65" s="34" t="str">
        <x:v>「分析資源、語言、組織與治理」是「族群衝突」的重點，但不能回答本題的「問題形成」。請回看：把大題目縮成可觀察的時空範圍。</x:v>
      </x:c>
      <x:c r="U65" s="34" t="str">
        <x:v>判斷正確</x:v>
      </x:c>
      <x:c r="V65" s="34" t="str">
        <x:v>忽略時空脈絡</x:v>
      </x:c>
      <x:c r="W65" s="34" t="str">
        <x:v>過度概括</x:v>
      </x:c>
      <x:c r="X65" s="34" t="str">
        <x:v>單因推論</x:v>
      </x:c>
      <x:c r="Y65" s="34" t="str">
        <x:v>把大題目縮成可觀察的時空範圍。</x:v>
      </x:c>
      <x:c r="Z65" s="34" t="str">
        <x:v>規範可調整，互助目的仍保留</x:v>
      </x:c>
      <x:c r="AA65" s="34" t="str">
        <x:v>商品與港口帶動北部市鎮發展</x:v>
      </x:c>
      <x:c r="AB65" s="34" t="str">
        <x:v>A</x:v>
      </x:c>
      <x:c r="AC65" s="34" t="str">
        <x:v>這是判斷「問題形成」時要使用的依據。可探究問題要有地點、時間、變化與資料對象，才能蒐證而不只是表態。</x:v>
      </x:c>
      <x:c r="AD65" s="34" t="str">
        <x:v>這是「規範變遷」的重點；本題要判斷的是「問題形成」，兩者不能互相代替。</x:v>
      </x:c>
      <x:c r="AE65" s="34" t="str">
        <x:v>這項知識屬於「經濟北移」，無法支持本題的「問題形成」判斷。</x:v>
      </x:c>
      <x:c r="AF65" s="34" t="str">
        <x:v>把校園浪費很多改寫成可測量問題。</x:v>
      </x:c>
    </x:row>
    <x:row r="66" ht="76" customHeight="1">
      <x:c r="A66" s="34" t="str">
        <x:v>5A-U5</x:v>
      </x:c>
      <x:c r="B66" s="34" t="str">
        <x:v>五上</x:v>
      </x:c>
      <x:c r="C66" s="34" t="n">
        <x:v>5</x:v>
      </x:c>
      <x:c r="D66" s="34" t="str">
        <x:v>發現臺灣之美</x:v>
      </x:c>
      <x:c r="E66" s="34" t="str">
        <x:v>5A-U5-O1</x:v>
      </x:c>
      <x:c r="F66" s="34" t="n">
        <x:v>2</x:v>
      </x:c>
      <x:c r="G66" s="34" t="str">
        <x:v>證據判讀</x:v>
      </x:c>
      <x:c r="H66" s="34" t="str">
        <x:v>哪項資料最能支持「聚焦特定海岸、時間與不同觀點」？</x:v>
      </x:c>
      <x:c r="I66" s="34" t="str">
        <x:v>和題目直接有關的資料</x:v>
      </x:c>
      <x:c r="J66" s="34" t="str">
        <x:v>選能看見臺灣、鄰國與航線的區域圖</x:v>
      </x:c>
      <x:c r="K66" s="34" t="str">
        <x:v>板塊交界造成多山與地震</x:v>
      </x:c>
      <x:c r="L66" s="34" t="str">
        <x:v>比較地形、風浪、泥沙與停靠條件</x:v>
      </x:c>
      <x:c r="M66" s="34" t="str">
        <x:v>A</x:v>
      </x:c>
      <x:c r="N66" s="34" t="str">
        <x:v>和題目直接有關的資料</x:v>
      </x:c>
      <x:c r="O66" s="34" t="str">
        <x:v>把大題目縮成可觀察的時空範圍。</x:v>
      </x:c>
      <x:c r="P66" s="34" t="str">
        <x:v>這題檢查的是證據能否直接支持「某海岸近十年景觀如何改變，居民與遊客有何不同看法」，不是文字長短或票數。可探究問題要有地點、時間、變化與資料對象，才能蒐證而不只是表態。</x:v>
      </x:c>
      <x:c r="Q66" s="34" t="str">
        <x:v>這項選擇成立：和題目直接有關的資料。它抓住問題形成的關鍵條件。</x:v>
      </x:c>
      <x:c r="R66" s="34" t="str">
        <x:v>「選能看見臺灣、鄰國與航線的區域圖」是「地圖尺度」的重點，但不能回答本題的「問題形成」。請回看：把大題目縮成可觀察的時空範圍。</x:v>
      </x:c>
      <x:c r="S66" s="34" t="str">
        <x:v>「板塊交界造成多山與地震」是「板塊與地形」的重點，但不能回答本題的「問題形成」。請回看：把大題目縮成可觀察的時空範圍。</x:v>
      </x:c>
      <x:c r="T66" s="34" t="str">
        <x:v>「比較地形、風浪、泥沙與停靠條件」是「海岸變遷」的重點，但不能回答本題的「問題形成」。請回看：把大題目縮成可觀察的時空範圍。</x:v>
      </x:c>
      <x:c r="U66" s="34" t="str">
        <x:v>判斷正確</x:v>
      </x:c>
      <x:c r="V66" s="34" t="str">
        <x:v>過度概括</x:v>
      </x:c>
      <x:c r="W66" s="34" t="str">
        <x:v>單因推論</x:v>
      </x:c>
      <x:c r="X66" s="34" t="str">
        <x:v>證據不足</x:v>
      </x:c>
      <x:c r="Y66" s="34" t="str">
        <x:v>把大題目縮成可觀察的時空範圍。</x:v>
      </x:c>
      <x:c r="Z66" s="34" t="str">
        <x:v>港市帶動文化，但各族群影響不同</x:v>
      </x:c>
      <x:c r="AA66" s="34" t="str">
        <x:v>訪談多方並搭配噪音與發電資料</x:v>
      </x:c>
      <x:c r="AB66" s="34" t="str">
        <x:v>A</x:v>
      </x:c>
      <x:c r="AC66" s="34" t="str">
        <x:v>這是判斷「問題形成」時要使用的依據。可探究問題要有地點、時間、變化與資料對象，才能蒐證而不只是表態。</x:v>
      </x:c>
      <x:c r="AD66" s="34" t="str">
        <x:v>這是「港市與文化」的重點；本題要判斷的是「問題形成」，兩者不能互相代替。</x:v>
      </x:c>
      <x:c r="AE66" s="34" t="str">
        <x:v>這項知識屬於「多元觀點」，無法支持本題的「問題形成」判斷。</x:v>
      </x:c>
      <x:c r="AF66" s="34" t="str">
        <x:v>把校園浪費很多改寫成可測量問題。</x:v>
      </x:c>
    </x:row>
    <x:row r="67" ht="76" customHeight="1">
      <x:c r="A67" s="34" t="str">
        <x:v>5A-U5</x:v>
      </x:c>
      <x:c r="B67" s="34" t="str">
        <x:v>五上</x:v>
      </x:c>
      <x:c r="C67" s="34" t="n">
        <x:v>5</x:v>
      </x:c>
      <x:c r="D67" s="34" t="str">
        <x:v>發現臺灣之美</x:v>
      </x:c>
      <x:c r="E67" s="34" t="str">
        <x:v>5A-U5-O1</x:v>
      </x:c>
      <x:c r="F67" s="34" t="n">
        <x:v>3</x:v>
      </x:c>
      <x:c r="G67" s="34" t="str">
        <x:v>迷思修正</x:v>
      </x:c>
      <x:c r="H67" s="34" t="str">
        <x:v>有人說：「全世界最喜歡哪個地方」哪個答案能改正這個說法？</x:v>
      </x:c>
      <x:c r="I67" s="34" t="str">
        <x:v>聚焦特定海岸、時間與不同觀點</x:v>
      </x:c>
      <x:c r="J67" s="34" t="str">
        <x:v>港市帶動文化，但各族群影響不同</x:v>
      </x:c>
      <x:c r="K67" s="34" t="str">
        <x:v>通商壓力、物產與航路共同促成開港</x:v>
      </x:c>
      <x:c r="L67" s="34" t="str">
        <x:v>商品與港口帶動北部市鎮發展</x:v>
      </x:c>
      <x:c r="M67" s="34" t="str">
        <x:v>A</x:v>
      </x:c>
      <x:c r="N67" s="34" t="str">
        <x:v>聚焦特定海岸、時間與不同觀點</x:v>
      </x:c>
      <x:c r="O67" s="34" t="str">
        <x:v>把大題目縮成可觀察的時空範圍。</x:v>
      </x:c>
      <x:c r="P67" s="34" t="str">
        <x:v>迷思「全世界最喜歡哪個地方」的問題，是它沒有處理「小組想研究『臺灣很美嗎』，但範圍太大」提供的關鍵條件。可探究問題要有地點、時間、變化與資料對象，才能蒐證而不只是表態。</x:v>
      </x:c>
      <x:c r="Q67" s="34" t="str">
        <x:v>證據吻合。選項「聚焦特定海岸、時間與不同觀點」能把問題形成的線索合理連起來。</x:v>
      </x:c>
      <x:c r="R67" s="34" t="str">
        <x:v>「港市帶動文化，但各族群影響不同」是「港市與文化」的重點，但不能回答本題的「問題形成」。請回看：把大題目縮成可觀察的時空範圍。</x:v>
      </x:c>
      <x:c r="S67" s="34" t="str">
        <x:v>「通商壓力、物產與航路共同促成開港」是「開港背景」的重點，但不能回答本題的「問題形成」。請回看：把大題目縮成可觀察的時空範圍。</x:v>
      </x:c>
      <x:c r="T67" s="34" t="str">
        <x:v>「商品與港口帶動北部市鎮發展」是「經濟北移」的重點，但不能回答本題的「問題形成」。請回看：把大題目縮成可觀察的時空範圍。</x:v>
      </x:c>
      <x:c r="U67" s="34" t="str">
        <x:v>判斷正確</x:v>
      </x:c>
      <x:c r="V67" s="34" t="str">
        <x:v>單因推論</x:v>
      </x:c>
      <x:c r="W67" s="34" t="str">
        <x:v>證據不足</x:v>
      </x:c>
      <x:c r="X67" s="34" t="str">
        <x:v>忽略利害關係人</x:v>
      </x:c>
      <x:c r="Y67" s="34" t="str">
        <x:v>把大題目縮成可觀察的時空範圍。</x:v>
      </x:c>
      <x:c r="Z67" s="34" t="str">
        <x:v>停止交易並改用官方查證與付款</x:v>
      </x:c>
      <x:c r="AA67" s="34" t="str">
        <x:v>規範與法律的形成及強制力不同</x:v>
      </x:c>
      <x:c r="AB67" s="34" t="str">
        <x:v>A</x:v>
      </x:c>
      <x:c r="AC67" s="34" t="str">
        <x:v>這是判斷「問題形成」時要使用的依據。可探究問題要有地點、時間、變化與資料對象，才能蒐證而不只是表態。</x:v>
      </x:c>
      <x:c r="AD67" s="34" t="str">
        <x:v>這是「消費安全」的重點；本題要判斷的是「問題形成」，兩者不能互相代替。</x:v>
      </x:c>
      <x:c r="AE67" s="34" t="str">
        <x:v>這項知識屬於「規範與法律」，無法支持本題的「問題形成」判斷。</x:v>
      </x:c>
      <x:c r="AF67" s="34" t="str">
        <x:v>把校園浪費很多改寫成可測量問題。</x:v>
      </x:c>
    </x:row>
    <x:row r="68" ht="76" customHeight="1">
      <x:c r="A68" s="34" t="str">
        <x:v>5A-U5</x:v>
      </x:c>
      <x:c r="B68" s="34" t="str">
        <x:v>五上</x:v>
      </x:c>
      <x:c r="C68" s="34" t="n">
        <x:v>5</x:v>
      </x:c>
      <x:c r="D68" s="34" t="str">
        <x:v>發現臺灣之美</x:v>
      </x:c>
      <x:c r="E68" s="34" t="str">
        <x:v>5A-U5-O2</x:v>
      </x:c>
      <x:c r="F68" s="34" t="n">
        <x:v>4</x:v>
      </x:c>
      <x:c r="G68" s="34" t="str">
        <x:v>情境判斷</x:v>
      </x:c>
      <x:c r="H68" s="34" t="str">
        <x:v>研究老街保存與使用衝突。哪個答案最合理？</x:v>
      </x:c>
      <x:c r="I68" s="34" t="str">
        <x:v>結合檔案、觀察與多方訪談</x:v>
      </x:c>
      <x:c r="J68" s="34" t="str">
        <x:v>只看一支觀光宣傳片</x:v>
      </x:c>
      <x:c r="K68" s="34" t="str">
        <x:v>只問最支持改建的店家</x:v>
      </x:c>
      <x:c r="L68" s="34" t="str">
        <x:v>依地理條件發展能源並評估影響</x:v>
      </x:c>
      <x:c r="M68" s="34" t="str">
        <x:v>A</x:v>
      </x:c>
      <x:c r="N68" s="34" t="str">
        <x:v>結合檔案、觀察與多方訪談</x:v>
      </x:c>
      <x:c r="O68" s="34" t="str">
        <x:v>來源要涵蓋不同時間與利害關係人。</x:v>
      </x:c>
      <x:c r="P68" s="34" t="str">
        <x:v>歷史、空間與不同使用者資料能交叉檢查；單一宣傳或立場容易偏誤。</x:v>
      </x:c>
      <x:c r="Q68" s="34" t="str">
        <x:v>這項選擇成立：結合檔案、觀察與多方訪談。它抓住多元資料的關鍵條件。</x:v>
      </x:c>
      <x:c r="R68" s="34" t="str">
        <x:v>選項和題意關係較弱。提示：來源要涵蓋不同時間與利害關係人。</x:v>
      </x:c>
      <x:c r="S68" s="34" t="str">
        <x:v>這裡混淆了條件與結論。提示：來源要涵蓋不同時間與利害關係人。</x:v>
      </x:c>
      <x:c r="T68" s="34" t="str">
        <x:v>「依地理條件發展能源並評估影響」是「地理配對」的重點，但不能回答本題的「多元資料」。請回看：來源要涵蓋不同時間與利害關係人。</x:v>
      </x:c>
      <x:c r="U68" s="34" t="str">
        <x:v>判斷正確</x:v>
      </x:c>
      <x:c r="V68" s="34" t="str">
        <x:v>過度概括</x:v>
      </x:c>
      <x:c r="W68" s="34" t="str">
        <x:v>單因推論</x:v>
      </x:c>
      <x:c r="X68" s="34" t="str">
        <x:v>證據不足</x:v>
      </x:c>
      <x:c r="Y68" s="34" t="str">
        <x:v>來源要涵蓋不同時間與受到影響的人。</x:v>
      </x:c>
      <x:c r="Z68" s="34" t="str">
        <x:v>泥沙堆積使船難進出，港口轉移</x:v>
      </x:c>
      <x:c r="AA68" s="34" t="str">
        <x:v>用共同指標比較各能源的代價</x:v>
      </x:c>
      <x:c r="AB68" s="34" t="str">
        <x:v>A</x:v>
      </x:c>
      <x:c r="AC68" s="34" t="str">
        <x:v>這是判斷「多元資料」時要使用的依據。歷史、空間與不同使用者資料能交叉檢查；單一宣傳或立場容易偏誤。</x:v>
      </x:c>
      <x:c r="AD68" s="34" t="str">
        <x:v>這是「潟湖與港口」的重點；本題要判斷的是「多元資料」，兩者不能互相代替。</x:v>
      </x:c>
      <x:c r="AE68" s="34" t="str">
        <x:v>這項知識屬於「能源代價」，無法支持本題的「多元資料」判斷。</x:v>
      </x:c>
      <x:c r="AF68" s="34" t="str">
        <x:v>訪談名單刻意納入不同立場。</x:v>
      </x:c>
    </x:row>
    <x:row r="69" ht="76" customHeight="1">
      <x:c r="A69" s="34" t="str">
        <x:v>5A-U5</x:v>
      </x:c>
      <x:c r="B69" s="34" t="str">
        <x:v>五上</x:v>
      </x:c>
      <x:c r="C69" s="34" t="n">
        <x:v>5</x:v>
      </x:c>
      <x:c r="D69" s="34" t="str">
        <x:v>發現臺灣之美</x:v>
      </x:c>
      <x:c r="E69" s="34" t="str">
        <x:v>5A-U5-O2</x:v>
      </x:c>
      <x:c r="F69" s="34" t="n">
        <x:v>5</x:v>
      </x:c>
      <x:c r="G69" s="34" t="str">
        <x:v>證據判讀</x:v>
      </x:c>
      <x:c r="H69" s="34" t="str">
        <x:v>哪項資料最能支持「結合檔案、觀察與多方訪談」？</x:v>
      </x:c>
      <x:c r="I69" s="34" t="str">
        <x:v>和題目直接有關的資料</x:v>
      </x:c>
      <x:c r="J69" s="34" t="str">
        <x:v>保留植被並依坡度調整耕作</x:v>
      </x:c>
      <x:c r="K69" s="34" t="str">
        <x:v>比較供應、動物、傳染病與廢水管理</x:v>
      </x:c>
      <x:c r="L69" s="34" t="str">
        <x:v>設禁漁期、尺寸限制並協助轉型</x:v>
      </x:c>
      <x:c r="M69" s="34" t="str">
        <x:v>A</x:v>
      </x:c>
      <x:c r="N69" s="34" t="str">
        <x:v>和題目直接有關的資料</x:v>
      </x:c>
      <x:c r="O69" s="34" t="str">
        <x:v>來源要涵蓋不同時間與利害關係人。</x:v>
      </x:c>
      <x:c r="P69" s="34" t="str">
        <x:v>這題檢查的是證據能否直接支持「歷史檔案、現況觀察，加上居民、店家與遊客訪談」，不是文字長短或票數。歷史、空間與不同使用者資料能交叉檢查；單一宣傳或立場容易偏誤。</x:v>
      </x:c>
      <x:c r="Q69" s="34" t="str">
        <x:v>證據吻合。選項「和題目直接有關的資料」能把多元資料的線索合理連起來。</x:v>
      </x:c>
      <x:c r="R69" s="34" t="str">
        <x:v>「保留植被並依坡度調整耕作」是「永續農業」的重點，但不能回答本題的「多元資料」。請回看：來源要涵蓋不同時間與利害關係人。</x:v>
      </x:c>
      <x:c r="S69" s="34" t="str">
        <x:v>「比較供應、動物、傳染病與廢水管理」是「畜牧權衡」的重點，但不能回答本題的「多元資料」。請回看：來源要涵蓋不同時間與利害關係人。</x:v>
      </x:c>
      <x:c r="T69" s="34" t="str">
        <x:v>「設禁漁期、尺寸限制並協助轉型」是「永續漁業」的重點，但不能回答本題的「多元資料」。請回看：來源要涵蓋不同時間與利害關係人。</x:v>
      </x:c>
      <x:c r="U69" s="34" t="str">
        <x:v>判斷正確</x:v>
      </x:c>
      <x:c r="V69" s="34" t="str">
        <x:v>單因推論</x:v>
      </x:c>
      <x:c r="W69" s="34" t="str">
        <x:v>證據不足</x:v>
      </x:c>
      <x:c r="X69" s="34" t="str">
        <x:v>忽略利害關係人</x:v>
      </x:c>
      <x:c r="Y69" s="34" t="str">
        <x:v>來源要涵蓋不同時間與受到影響的人。</x:v>
      </x:c>
      <x:c r="Z69" s="34" t="str">
        <x:v>依能源補充性與環境特性分類</x:v>
      </x:c>
      <x:c r="AA69" s="34" t="str">
        <x:v>比較地形、風浪、泥沙與停靠條件</x:v>
      </x:c>
      <x:c r="AB69" s="34" t="str">
        <x:v>A</x:v>
      </x:c>
      <x:c r="AC69" s="34" t="str">
        <x:v>這是判斷「多元資料」時要使用的依據。歷史、空間與不同使用者資料能交叉檢查；單一宣傳或立場容易偏誤。</x:v>
      </x:c>
      <x:c r="AD69" s="34" t="str">
        <x:v>這是「能源分類」的重點；本題要判斷的是「多元資料」，兩者不能互相代替。</x:v>
      </x:c>
      <x:c r="AE69" s="34" t="str">
        <x:v>這項知識屬於「海岸變遷」，無法支持本題的「多元資料」判斷。</x:v>
      </x:c>
      <x:c r="AF69" s="34" t="str">
        <x:v>訪談名單刻意納入不同立場。</x:v>
      </x:c>
    </x:row>
    <x:row r="70" ht="76" customHeight="1">
      <x:c r="A70" s="34" t="str">
        <x:v>5A-U5</x:v>
      </x:c>
      <x:c r="B70" s="34" t="str">
        <x:v>五上</x:v>
      </x:c>
      <x:c r="C70" s="34" t="n">
        <x:v>5</x:v>
      </x:c>
      <x:c r="D70" s="34" t="str">
        <x:v>發現臺灣之美</x:v>
      </x:c>
      <x:c r="E70" s="34" t="str">
        <x:v>5A-U5-O2</x:v>
      </x:c>
      <x:c r="F70" s="34" t="n">
        <x:v>6</x:v>
      </x:c>
      <x:c r="G70" s="34" t="str">
        <x:v>迷思修正</x:v>
      </x:c>
      <x:c r="H70" s="34" t="str">
        <x:v>有人說：「只看一支觀光宣傳片」哪個答案能改正這個說法？</x:v>
      </x:c>
      <x:c r="I70" s="34" t="str">
        <x:v>結合檔案、觀察與多方訪談</x:v>
      </x:c>
      <x:c r="J70" s="34" t="str">
        <x:v>用共同指標比較各能源的代價</x:v>
      </x:c>
      <x:c r="K70" s="34" t="str">
        <x:v>風險分配與居民參與需要公平</x:v>
      </x:c>
      <x:c r="L70" s="34" t="str">
        <x:v>停止交易並改用官方查證與付款</x:v>
      </x:c>
      <x:c r="M70" s="34" t="str">
        <x:v>A</x:v>
      </x:c>
      <x:c r="N70" s="34" t="str">
        <x:v>結合檔案、觀察與多方訪談</x:v>
      </x:c>
      <x:c r="O70" s="34" t="str">
        <x:v>來源要涵蓋不同時間與利害關係人。</x:v>
      </x:c>
      <x:c r="P70" s="34" t="str">
        <x:v>迷思「只看一支觀光宣傳片」的問題，是它沒有處理「研究老街保存與使用衝突」提供的關鍵條件。歷史、空間與不同使用者資料能交叉檢查；單一宣傳或立場容易偏誤。</x:v>
      </x:c>
      <x:c r="Q70" s="34" t="str">
        <x:v>答對了；「結合檔案、觀察與多方訪談」同時保留了多元資料需要的範圍與限制。</x:v>
      </x:c>
      <x:c r="R70" s="34" t="str">
        <x:v>「用共同指標比較各能源的代價」是「能源代價」的重點，但不能回答本題的「多元資料」。請回看：來源要涵蓋不同時間與利害關係人。</x:v>
      </x:c>
      <x:c r="S70" s="34" t="str">
        <x:v>「風險分配與居民參與需要公平」是「環境正義」的重點，但不能回答本題的「多元資料」。請回看：來源要涵蓋不同時間與利害關係人。</x:v>
      </x:c>
      <x:c r="T70" s="34" t="str">
        <x:v>「停止交易並改用官方查證與付款」是「消費安全」的重點，但不能回答本題的「多元資料」。請回看：來源要涵蓋不同時間與利害關係人。</x:v>
      </x:c>
      <x:c r="U70" s="34" t="str">
        <x:v>判斷正確</x:v>
      </x:c>
      <x:c r="V70" s="34" t="str">
        <x:v>證據不足</x:v>
      </x:c>
      <x:c r="W70" s="34" t="str">
        <x:v>忽略利害關係人</x:v>
      </x:c>
      <x:c r="X70" s="34" t="str">
        <x:v>把意見當證據</x:v>
      </x:c>
      <x:c r="Y70" s="34" t="str">
        <x:v>來源要涵蓋不同時間與受到影響的人。</x:v>
      </x:c>
      <x:c r="Z70" s="34" t="str">
        <x:v>比較對象、程度、證據與改善方法</x:v>
      </x:c>
      <x:c r="AA70" s="34" t="str">
        <x:v>長期追蹤保存、參與、就業與環境</x:v>
      </x:c>
      <x:c r="AB70" s="34" t="str">
        <x:v>A</x:v>
      </x:c>
      <x:c r="AC70" s="34" t="str">
        <x:v>這是判斷「多元資料」時要使用的依據。歷史、空間與不同使用者資料能交叉檢查；單一宣傳或立場容易偏誤。</x:v>
      </x:c>
      <x:c r="AD70" s="34" t="str">
        <x:v>這是「分析權衡」的重點；本題要判斷的是「多元資料」，兩者不能互相代替。</x:v>
      </x:c>
      <x:c r="AE70" s="34" t="str">
        <x:v>這項知識屬於「地方轉型」，無法支持本題的「多元資料」判斷。</x:v>
      </x:c>
      <x:c r="AF70" s="34" t="str">
        <x:v>訪談名單刻意納入不同立場。</x:v>
      </x:c>
    </x:row>
    <x:row r="71" ht="76" customHeight="1">
      <x:c r="A71" s="34" t="str">
        <x:v>5A-U5</x:v>
      </x:c>
      <x:c r="B71" s="34" t="str">
        <x:v>五上</x:v>
      </x:c>
      <x:c r="C71" s="34" t="n">
        <x:v>5</x:v>
      </x:c>
      <x:c r="D71" s="34" t="str">
        <x:v>發現臺灣之美</x:v>
      </x:c>
      <x:c r="E71" s="34" t="str">
        <x:v>5A-U5-O3</x:v>
      </x:c>
      <x:c r="F71" s="34" t="n">
        <x:v>7</x:v>
      </x:c>
      <x:c r="G71" s="34" t="str">
        <x:v>情境判斷</x:v>
      </x:c>
      <x:c r="H71" s="34" t="str">
        <x:v>兩張趨勢圖用不同直線刻度，看起來變化差很多。哪個答案最合理？</x:v>
      </x:c>
      <x:c r="I71" s="34" t="str">
        <x:v>核對單位、時間、尺度與原始數值</x:v>
      </x:c>
      <x:c r="J71" s="34" t="str">
        <x:v>選變化看起來最大的一張</x:v>
      </x:c>
      <x:c r="K71" s="34" t="str">
        <x:v>只看顏色決定可信度</x:v>
      </x:c>
      <x:c r="L71" s="34" t="str">
        <x:v>訪談多方並搭配噪音與發電資料</x:v>
      </x:c>
      <x:c r="M71" s="34" t="str">
        <x:v>A</x:v>
      </x:c>
      <x:c r="N71" s="34" t="str">
        <x:v>核對單位、時間、尺度與原始數值</x:v>
      </x:c>
      <x:c r="O71" s="34" t="str">
        <x:v>先確認圖表四要素。</x:v>
      </x:c>
      <x:c r="P71" s="34" t="str">
        <x:v>圖表外觀會受尺度影響，判斷前必須讀標題、座標、單位和數值。</x:v>
      </x:c>
      <x:c r="Q71" s="34" t="str">
        <x:v>證據吻合。選項「核對單位、時間、尺度與原始數值」能把圖表判讀的線索合理連起來。</x:v>
      </x:c>
      <x:c r="R71" s="34" t="str">
        <x:v>這裡混淆了條件與結論。提示：先確認圖表四要素。</x:v>
      </x:c>
      <x:c r="S71" s="34" t="str">
        <x:v>這項判斷忽略重要限制。請想想：先確認圖表四要素。</x:v>
      </x:c>
      <x:c r="T71" s="34" t="str">
        <x:v>「訪談多方並搭配噪音與發電資料」是「多元觀點」的重點，但不能回答本題的「圖表判讀」。請回看：先確認圖表四要素。</x:v>
      </x:c>
      <x:c r="U71" s="34" t="str">
        <x:v>判斷正確</x:v>
      </x:c>
      <x:c r="V71" s="34" t="str">
        <x:v>單因推論</x:v>
      </x:c>
      <x:c r="W71" s="34" t="str">
        <x:v>證據不足</x:v>
      </x:c>
      <x:c r="X71" s="34" t="str">
        <x:v>忽略利害關係人</x:v>
      </x:c>
      <x:c r="Y71" s="34" t="str">
        <x:v>先確認圖表四要素。</x:v>
      </x:c>
      <x:c r="Z71" s="34" t="str">
        <x:v>生活、機會與政策共同影響移動</x:v>
      </x:c>
      <x:c r="AA71" s="34" t="str">
        <x:v>設計耐用可修產品並回收再製</x:v>
      </x:c>
      <x:c r="AB71" s="34" t="str">
        <x:v>A</x:v>
      </x:c>
      <x:c r="AC71" s="34" t="str">
        <x:v>這是判斷「圖表判讀」時要使用的依據。圖表外觀會受尺度影響，判斷前必須讀標題、座標、單位和數值。</x:v>
      </x:c>
      <x:c r="AD71" s="34" t="str">
        <x:v>這是「遷移原因」的重點；本題要判斷的是「圖表判讀」，兩者不能互相代替。</x:v>
      </x:c>
      <x:c r="AE71" s="34" t="str">
        <x:v>這項知識屬於「循環經濟」，無法支持本題的「圖表判讀」判斷。</x:v>
      </x:c>
      <x:c r="AF71" s="34" t="str">
        <x:v>看到誇張圖表時，重畫同尺度再比較。</x:v>
      </x:c>
    </x:row>
    <x:row r="72" ht="76" customHeight="1">
      <x:c r="A72" s="34" t="str">
        <x:v>5A-U5</x:v>
      </x:c>
      <x:c r="B72" s="34" t="str">
        <x:v>五上</x:v>
      </x:c>
      <x:c r="C72" s="34" t="n">
        <x:v>5</x:v>
      </x:c>
      <x:c r="D72" s="34" t="str">
        <x:v>發現臺灣之美</x:v>
      </x:c>
      <x:c r="E72" s="34" t="str">
        <x:v>5A-U5-O3</x:v>
      </x:c>
      <x:c r="F72" s="34" t="n">
        <x:v>8</x:v>
      </x:c>
      <x:c r="G72" s="34" t="str">
        <x:v>證據判讀</x:v>
      </x:c>
      <x:c r="H72" s="34" t="str">
        <x:v>哪項資料最能支持「核對單位、時間、尺度與原始數值」？</x:v>
      </x:c>
      <x:c r="I72" s="34" t="str">
        <x:v>和題目直接有關的資料</x:v>
      </x:c>
      <x:c r="J72" s="34" t="str">
        <x:v>貿易增加，也改變土地與族群關係</x:v>
      </x:c>
      <x:c r="K72" s="34" t="str">
        <x:v>季風影響航程與風險，但不保證安全</x:v>
      </x:c>
      <x:c r="L72" s="34" t="str">
        <x:v>合作修水圳，訂分水與維修規則</x:v>
      </x:c>
      <x:c r="M72" s="34" t="str">
        <x:v>A</x:v>
      </x:c>
      <x:c r="N72" s="34" t="str">
        <x:v>和題目直接有關的資料</x:v>
      </x:c>
      <x:c r="O72" s="34" t="str">
        <x:v>先確認圖表四要素。</x:v>
      </x:c>
      <x:c r="P72" s="34" t="str">
        <x:v>這題檢查的是證據能否直接支持「核對單位、時間與尺度，再比較原始數值」，不是文字長短或票數。圖表外觀會受尺度影響，判斷前必須讀標題、座標、單位和數值。</x:v>
      </x:c>
      <x:c r="Q72" s="34" t="str">
        <x:v>答對了；「和題目直接有關的資料」同時保留了圖表判讀需要的範圍與限制。</x:v>
      </x:c>
      <x:c r="R72" s="34" t="str">
        <x:v>「貿易增加，也改變土地與族群關係」是「貿易影響」的重點，但不能回答本題的「圖表判讀」。請回看：先確認圖表四要素。</x:v>
      </x:c>
      <x:c r="S72" s="34" t="str">
        <x:v>「季風影響航程與風險，但不保證安全」是「移民與季風」的重點，但不能回答本題的「圖表判讀」。請回看：先確認圖表四要素。</x:v>
      </x:c>
      <x:c r="T72" s="34" t="str">
        <x:v>「合作修水圳，訂分水與維修規則」是「水利開墾」的重點，但不能回答本題的「圖表判讀」。請回看：先確認圖表四要素。</x:v>
      </x:c>
      <x:c r="U72" s="34" t="str">
        <x:v>判斷正確</x:v>
      </x:c>
      <x:c r="V72" s="34" t="str">
        <x:v>證據不足</x:v>
      </x:c>
      <x:c r="W72" s="34" t="str">
        <x:v>忽略利害關係人</x:v>
      </x:c>
      <x:c r="X72" s="34" t="str">
        <x:v>把意見當證據</x:v>
      </x:c>
      <x:c r="Y72" s="34" t="str">
        <x:v>先確認圖表四要素。</x:v>
      </x:c>
      <x:c r="Z72" s="34" t="str">
        <x:v>訂規則、維修配置與歸還責任</x:v>
      </x:c>
      <x:c r="AA72" s="34" t="str">
        <x:v>保留植被並依坡度調整耕作</x:v>
      </x:c>
      <x:c r="AB72" s="34" t="str">
        <x:v>A</x:v>
      </x:c>
      <x:c r="AC72" s="34" t="str">
        <x:v>這是判斷「圖表判讀」時要使用的依據。圖表外觀會受尺度影響，判斷前必須讀標題、座標、單位和數值。</x:v>
      </x:c>
      <x:c r="AD72" s="34" t="str">
        <x:v>這是「共享資源」的重點；本題要判斷的是「圖表判讀」，兩者不能互相代替。</x:v>
      </x:c>
      <x:c r="AE72" s="34" t="str">
        <x:v>這項知識屬於「永續農業」，無法支持本題的「圖表判讀」判斷。</x:v>
      </x:c>
      <x:c r="AF72" s="34" t="str">
        <x:v>看到誇張圖表時，重畫同尺度再比較。</x:v>
      </x:c>
    </x:row>
    <x:row r="73" ht="76" customHeight="1">
      <x:c r="A73" s="34" t="str">
        <x:v>5A-U5</x:v>
      </x:c>
      <x:c r="B73" s="34" t="str">
        <x:v>五上</x:v>
      </x:c>
      <x:c r="C73" s="34" t="n">
        <x:v>5</x:v>
      </x:c>
      <x:c r="D73" s="34" t="str">
        <x:v>發現臺灣之美</x:v>
      </x:c>
      <x:c r="E73" s="34" t="str">
        <x:v>5A-U5-O3</x:v>
      </x:c>
      <x:c r="F73" s="34" t="n">
        <x:v>9</x:v>
      </x:c>
      <x:c r="G73" s="34" t="str">
        <x:v>迷思修正</x:v>
      </x:c>
      <x:c r="H73" s="34" t="str">
        <x:v>有人說：「選變化看起來最大的一張」哪個答案能改正這個說法？</x:v>
      </x:c>
      <x:c r="I73" s="34" t="str">
        <x:v>核對單位、時間、尺度與原始數值</x:v>
      </x:c>
      <x:c r="J73" s="34" t="str">
        <x:v>比較對象、程度、證據與改善方法</x:v>
      </x:c>
      <x:c r="K73" s="34" t="str">
        <x:v>用共同目標與相同標準調整方案</x:v>
      </x:c>
      <x:c r="L73" s="34" t="str">
        <x:v>設基準與措施，四週後同指標比較</x:v>
      </x:c>
      <x:c r="M73" s="34" t="str">
        <x:v>A</x:v>
      </x:c>
      <x:c r="N73" s="34" t="str">
        <x:v>核對單位、時間、尺度與原始數值</x:v>
      </x:c>
      <x:c r="O73" s="34" t="str">
        <x:v>先確認圖表四要素。</x:v>
      </x:c>
      <x:c r="P73" s="34" t="str">
        <x:v>迷思「選變化看起來最大的一張」的問題，是它沒有處理「兩張趨勢圖用不同縱軸尺度，看起來變化差很多」提供的關鍵條件。圖表外觀會受尺度影響，判斷前必須讀標題、座標、單位和數值。</x:v>
      </x:c>
      <x:c r="Q73" s="34" t="str">
        <x:v>你的判讀可被查證：核對單位、時間、尺度與原始數值。這正是圖表判讀要比較的核心。</x:v>
      </x:c>
      <x:c r="R73" s="34" t="str">
        <x:v>「比較對象、程度、證據與改善方法」是「分析權衡」的重點，但不能回答本題的「圖表判讀」。請回看：先確認圖表四要素。</x:v>
      </x:c>
      <x:c r="S73" s="34" t="str">
        <x:v>「用共同目標與相同標準調整方案」是「共識與程序」的重點，但不能回答本題的「圖表判讀」。請回看：先確認圖表四要素。</x:v>
      </x:c>
      <x:c r="T73" s="34" t="str">
        <x:v>「設基準與措施，四週後同指標比較」是「行動評估」的重點，但不能回答本題的「圖表判讀」。請回看：先確認圖表四要素。</x:v>
      </x:c>
      <x:c r="U73" s="34" t="str">
        <x:v>判斷正確</x:v>
      </x:c>
      <x:c r="V73" s="34" t="str">
        <x:v>忽略利害關係人</x:v>
      </x:c>
      <x:c r="W73" s="34" t="str">
        <x:v>把意見當證據</x:v>
      </x:c>
      <x:c r="X73" s="34" t="str">
        <x:v>位置錯置</x:v>
      </x:c>
      <x:c r="Y73" s="34" t="str">
        <x:v>先確認圖表四要素。</x:v>
      </x:c>
      <x:c r="Z73" s="34" t="str">
        <x:v>遺物顯示可能已有農耕定居生活</x:v>
      </x:c>
      <x:c r="AA73" s="34" t="str">
        <x:v>合作修水圳，訂分水與維修規則</x:v>
      </x:c>
      <x:c r="AB73" s="34" t="str">
        <x:v>A</x:v>
      </x:c>
      <x:c r="AC73" s="34" t="str">
        <x:v>這是判斷「圖表判讀」時要使用的依據。圖表外觀會受尺度影響，判斷前必須讀標題、座標、單位和數值。</x:v>
      </x:c>
      <x:c r="AD73" s="34" t="str">
        <x:v>這是「史前證據」的重點；本題要判斷的是「圖表判讀」，兩者不能互相代替。</x:v>
      </x:c>
      <x:c r="AE73" s="34" t="str">
        <x:v>這項知識屬於「水利開墾」，無法支持本題的「圖表判讀」判斷。</x:v>
      </x:c>
      <x:c r="AF73" s="34" t="str">
        <x:v>看到誇張圖表時，重畫同尺度再比較。</x:v>
      </x:c>
    </x:row>
    <x:row r="74" ht="76" customHeight="1">
      <x:c r="A74" s="34" t="str">
        <x:v>5A-U5</x:v>
      </x:c>
      <x:c r="B74" s="34" t="str">
        <x:v>五上</x:v>
      </x:c>
      <x:c r="C74" s="34" t="n">
        <x:v>5</x:v>
      </x:c>
      <x:c r="D74" s="34" t="str">
        <x:v>發現臺灣之美</x:v>
      </x:c>
      <x:c r="E74" s="34" t="str">
        <x:v>5A-U5-O4</x:v>
      </x:c>
      <x:c r="F74" s="34" t="n">
        <x:v>10</x:v>
      </x:c>
      <x:c r="G74" s="34" t="str">
        <x:v>情境判斷</x:v>
      </x:c>
      <x:c r="H74" s="34" t="str">
        <x:v>小組只訪談十位遊客，卻想代表全臺居民。哪個答案最合理？</x:v>
      </x:c>
      <x:c r="I74" s="34" t="str">
        <x:v>限定結論範圍並說明調查限制</x:v>
      </x:c>
      <x:c r="J74" s="34" t="str">
        <x:v>十人同意就代表全臺灣</x:v>
      </x:c>
      <x:c r="K74" s="34" t="str">
        <x:v>樣本小所以任何發現都不能寫</x:v>
      </x:c>
      <x:c r="L74" s="34" t="str">
        <x:v>分族查資料，再比較文化異同</x:v>
      </x:c>
      <x:c r="M74" s="34" t="str">
        <x:v>A</x:v>
      </x:c>
      <x:c r="N74" s="34" t="str">
        <x:v>限定結論範圍並說明調查限制</x:v>
      </x:c>
      <x:c r="O74" s="34" t="str">
        <x:v>問資料能支持到多大的群體。</x:v>
      </x:c>
      <x:c r="P74" s="34" t="str">
        <x:v>結論的範圍不能超過資料；小研究仍有價值，但必須誠實交代限制。</x:v>
      </x:c>
      <x:c r="Q74" s="34" t="str">
        <x:v>答對了；「限定結論範圍並說明調查限制」同時保留了結論界線需要的範圍與限制。</x:v>
      </x:c>
      <x:c r="R74" s="34" t="str">
        <x:v>這項判斷忽略重要限制。請想想：問資料能支持到多大的群體。</x:v>
      </x:c>
      <x:c r="S74" s="34" t="str">
        <x:v>焦點放錯了。請回看：問資料能支持到多大的群體。</x:v>
      </x:c>
      <x:c r="T74" s="34" t="str">
        <x:v>「分族查資料，再比較文化異同」是「文化多樣性」的重點，但不能回答本題的「結論界線」。請回看：問資料能支持到多大的群體。</x:v>
      </x:c>
      <x:c r="U74" s="34" t="str">
        <x:v>判斷正確</x:v>
      </x:c>
      <x:c r="V74" s="34" t="str">
        <x:v>證據不足</x:v>
      </x:c>
      <x:c r="W74" s="34" t="str">
        <x:v>忽略利害關係人</x:v>
      </x:c>
      <x:c r="X74" s="34" t="str">
        <x:v>把意見當證據</x:v>
      </x:c>
      <x:c r="Y74" s="34" t="str">
        <x:v>問資料能支持到多大的群體。</x:v>
      </x:c>
      <x:c r="Z74" s="34" t="str">
        <x:v>電力帶來便利，也增加供電依賴</x:v>
      </x:c>
      <x:c r="AA74" s="34" t="str">
        <x:v>板塊交界造成多山與地震</x:v>
      </x:c>
      <x:c r="AB74" s="34" t="str">
        <x:v>A</x:v>
      </x:c>
      <x:c r="AC74" s="34" t="str">
        <x:v>這是判斷「結論界線」時要使用的依據。結論的範圍不能超過資料；小研究仍有價值，但必須誠實交代限制。</x:v>
      </x:c>
      <x:c r="AD74" s="34" t="str">
        <x:v>這是「電力與生活」的重點；本題要判斷的是「結論界線」，兩者不能互相代替。</x:v>
      </x:c>
      <x:c r="AE74" s="34" t="str">
        <x:v>這項知識屬於「板塊與地形」，無法支持本題的「結論界線」判斷。</x:v>
      </x:c>
      <x:c r="AF74" s="34" t="str">
        <x:v>報告班級調查時標明樣本與日期。</x:v>
      </x:c>
    </x:row>
    <x:row r="75" ht="76" customHeight="1">
      <x:c r="A75" s="34" t="str">
        <x:v>5A-U5</x:v>
      </x:c>
      <x:c r="B75" s="34" t="str">
        <x:v>五上</x:v>
      </x:c>
      <x:c r="C75" s="34" t="n">
        <x:v>5</x:v>
      </x:c>
      <x:c r="D75" s="34" t="str">
        <x:v>發現臺灣之美</x:v>
      </x:c>
      <x:c r="E75" s="34" t="str">
        <x:v>5A-U5-O4</x:v>
      </x:c>
      <x:c r="F75" s="34" t="n">
        <x:v>11</x:v>
      </x:c>
      <x:c r="G75" s="34" t="str">
        <x:v>證據判讀</x:v>
      </x:c>
      <x:c r="H75" s="34" t="str">
        <x:v>哪項資料最能支持「限定結論範圍並說明調查限制」？</x:v>
      </x:c>
      <x:c r="I75" s="34" t="str">
        <x:v>和題目直接有關的資料</x:v>
      </x:c>
      <x:c r="J75" s="34" t="str">
        <x:v>外力暴露治理不足，促使政策改變</x:v>
      </x:c>
      <x:c r="K75" s="34" t="str">
        <x:v>海防受重視，建省與建設強化治理</x:v>
      </x:c>
      <x:c r="L75" s="34" t="str">
        <x:v>電力帶來便利，也增加供電依賴</x:v>
      </x:c>
      <x:c r="M75" s="34" t="str">
        <x:v>A</x:v>
      </x:c>
      <x:c r="N75" s="34" t="str">
        <x:v>和題目直接有關的資料</x:v>
      </x:c>
      <x:c r="O75" s="34" t="str">
        <x:v>問資料能支持到多大的群體。</x:v>
      </x:c>
      <x:c r="P75" s="34" t="str">
        <x:v>這題檢查的是證據能否直接支持「只在受訪範圍內呈現發現，並清楚說明樣本限制」，不是文字長短或票數。結論的範圍不能超過資料；小研究仍有價值，但必須誠實交代限制。</x:v>
      </x:c>
      <x:c r="Q75" s="34" t="str">
        <x:v>你的判讀可被查證：和題目直接有關的資料。這正是結論界線要比較的核心。</x:v>
      </x:c>
      <x:c r="R75" s="34" t="str">
        <x:v>「外力暴露治理不足，促使政策改變」是「牡丹社事件」的重點，但不能回答本題的「結論界線」。請回看：問資料能支持到多大的群體。</x:v>
      </x:c>
      <x:c r="S75" s="34" t="str">
        <x:v>「海防受重視，建省與建設強化治理」是「清法戰爭與建省」的重點，但不能回答本題的「結論界線」。請回看：問資料能支持到多大的群體。</x:v>
      </x:c>
      <x:c r="T75" s="34" t="str">
        <x:v>「電力帶來便利，也增加供電依賴」是「電力與生活」的重點，但不能回答本題的「結論界線」。請回看：問資料能支持到多大的群體。</x:v>
      </x:c>
      <x:c r="U75" s="34" t="str">
        <x:v>判斷正確</x:v>
      </x:c>
      <x:c r="V75" s="34" t="str">
        <x:v>忽略利害關係人</x:v>
      </x:c>
      <x:c r="W75" s="34" t="str">
        <x:v>把意見當證據</x:v>
      </x:c>
      <x:c r="X75" s="34" t="str">
        <x:v>位置錯置</x:v>
      </x:c>
      <x:c r="Y75" s="34" t="str">
        <x:v>問資料能支持到多大的群體。</x:v>
      </x:c>
      <x:c r="Z75" s="34" t="str">
        <x:v>臺灣是遷徙與交流的中繼點</x:v>
      </x:c>
      <x:c r="AA75" s="34" t="str">
        <x:v>南荷北西，後由鄭成功驅逐荷蘭</x:v>
      </x:c>
      <x:c r="AB75" s="34" t="str">
        <x:v>A</x:v>
      </x:c>
      <x:c r="AC75" s="34" t="str">
        <x:v>這是判斷「結論界線」時要使用的依據。結論的範圍不能超過資料；小研究仍有價值，但必須誠實交代限制。</x:v>
      </x:c>
      <x:c r="AD75" s="34" t="str">
        <x:v>這是「位置與交流」的重點；本題要判斷的是「結論界線」，兩者不能互相代替。</x:v>
      </x:c>
      <x:c r="AE75" s="34" t="str">
        <x:v>這項知識屬於「時序空間」，無法支持本題的「結論界線」判斷。</x:v>
      </x:c>
      <x:c r="AF75" s="34" t="str">
        <x:v>報告班級調查時標明樣本與日期。</x:v>
      </x:c>
    </x:row>
    <x:row r="76" ht="76" customHeight="1">
      <x:c r="A76" s="34" t="str">
        <x:v>5A-U5</x:v>
      </x:c>
      <x:c r="B76" s="34" t="str">
        <x:v>五上</x:v>
      </x:c>
      <x:c r="C76" s="34" t="n">
        <x:v>5</x:v>
      </x:c>
      <x:c r="D76" s="34" t="str">
        <x:v>發現臺灣之美</x:v>
      </x:c>
      <x:c r="E76" s="34" t="str">
        <x:v>5A-U5-O4</x:v>
      </x:c>
      <x:c r="F76" s="34" t="n">
        <x:v>12</x:v>
      </x:c>
      <x:c r="G76" s="34" t="str">
        <x:v>迷思修正</x:v>
      </x:c>
      <x:c r="H76" s="34" t="str">
        <x:v>有人說：「十人同意就代表全臺灣」哪個答案能改正這個說法？</x:v>
      </x:c>
      <x:c r="I76" s="34" t="str">
        <x:v>限定結論範圍並說明調查限制</x:v>
      </x:c>
      <x:c r="J76" s="34" t="str">
        <x:v>環境、季節與歷史共同影響生活</x:v>
      </x:c>
      <x:c r="K76" s="34" t="str">
        <x:v>規範與法律的形成及強制力不同</x:v>
      </x:c>
      <x:c r="L76" s="34" t="str">
        <x:v>規範可調整，互助目的仍保留</x:v>
      </x:c>
      <x:c r="M76" s="34" t="str">
        <x:v>A</x:v>
      </x:c>
      <x:c r="N76" s="34" t="str">
        <x:v>限定結論範圍並說明調查限制</x:v>
      </x:c>
      <x:c r="O76" s="34" t="str">
        <x:v>問資料能支持到多大的群體。</x:v>
      </x:c>
      <x:c r="P76" s="34" t="str">
        <x:v>迷思「十人同意就代表全臺灣」的問題，是它沒有處理「小組只訪談十位遊客，卻想代表全臺居民」提供的關鍵條件。結論的範圍不能超過資料；小研究仍有價值，但必須誠實交代限制。</x:v>
      </x:c>
      <x:c r="Q76" s="34" t="str">
        <x:v>判斷精準。「限定結論範圍並說明調查限制」直接回應結論界線，推論沒有超過資料。</x:v>
      </x:c>
      <x:c r="R76" s="34" t="str">
        <x:v>「環境、季節與歷史共同影響生活」是「環境與生活」的重點，但不能回答本題的「結論界線」。請回看：問資料能支持到多大的群體。</x:v>
      </x:c>
      <x:c r="S76" s="34" t="str">
        <x:v>「規範與法律的形成及強制力不同」是「規範與法律」的重點，但不能回答本題的「結論界線」。請回看：問資料能支持到多大的群體。</x:v>
      </x:c>
      <x:c r="T76" s="34" t="str">
        <x:v>「規範可調整，互助目的仍保留」是「規範變遷」的重點，但不能回答本題的「結論界線」。請回看：問資料能支持到多大的群體。</x:v>
      </x:c>
      <x:c r="U76" s="34" t="str">
        <x:v>判斷正確</x:v>
      </x:c>
      <x:c r="V76" s="34" t="str">
        <x:v>把意見當證據</x:v>
      </x:c>
      <x:c r="W76" s="34" t="str">
        <x:v>位置錯置</x:v>
      </x:c>
      <x:c r="X76" s="34" t="str">
        <x:v>忽略時空脈絡</x:v>
      </x:c>
      <x:c r="Y76" s="34" t="str">
        <x:v>問資料能支持到多大的群體。</x:v>
      </x:c>
      <x:c r="Z76" s="34" t="str">
        <x:v>長期追蹤保存、參與、就業與環境</x:v>
      </x:c>
      <x:c r="AA76" s="34" t="str">
        <x:v>依能源補充性與環境特性分類</x:v>
      </x:c>
      <x:c r="AB76" s="34" t="str">
        <x:v>A</x:v>
      </x:c>
      <x:c r="AC76" s="34" t="str">
        <x:v>這是判斷「結論界線」時要使用的依據。結論的範圍不能超過資料；小研究仍有價值，但必須誠實交代限制。</x:v>
      </x:c>
      <x:c r="AD76" s="34" t="str">
        <x:v>這是「地方轉型」的重點；本題要判斷的是「結論界線」，兩者不能互相代替。</x:v>
      </x:c>
      <x:c r="AE76" s="34" t="str">
        <x:v>這項知識屬於「能源分類」，無法支持本題的「結論界線」判斷。</x:v>
      </x:c>
      <x:c r="AF76" s="34" t="str">
        <x:v>報告班級調查時標明樣本與日期。</x:v>
      </x:c>
    </x:row>
    <x:row r="77" ht="76" customHeight="1">
      <x:c r="A77" s="34" t="str">
        <x:v>5A-U5</x:v>
      </x:c>
      <x:c r="B77" s="34" t="str">
        <x:v>五上</x:v>
      </x:c>
      <x:c r="C77" s="34" t="n">
        <x:v>5</x:v>
      </x:c>
      <x:c r="D77" s="34" t="str">
        <x:v>發現臺灣之美</x:v>
      </x:c>
      <x:c r="E77" s="34" t="str">
        <x:v>5A-U5-O5</x:v>
      </x:c>
      <x:c r="F77" s="34" t="n">
        <x:v>13</x:v>
      </x:c>
      <x:c r="G77" s="34" t="str">
        <x:v>情境判斷</x:v>
      </x:c>
      <x:c r="H77" s="34" t="str">
        <x:v>減塑行動後，垃圾量沒有明顯下降。哪個答案最合理？</x:v>
      </x:c>
      <x:c r="I77" s="34" t="str">
        <x:v>查紀錄、調方法，再用同指標測量</x:v>
      </x:c>
      <x:c r="J77" s="34" t="str">
        <x:v>更改原始數字讓成果好看</x:v>
      </x:c>
      <x:c r="K77" s="34" t="str">
        <x:v>宣布問題無法解決並停止記錄</x:v>
      </x:c>
      <x:c r="L77" s="34" t="str">
        <x:v>長期追蹤保存、參與、就業與環境</x:v>
      </x:c>
      <x:c r="M77" s="34" t="str">
        <x:v>A</x:v>
      </x:c>
      <x:c r="N77" s="34" t="str">
        <x:v>查紀錄、調方法，再用同指標測量</x:v>
      </x:c>
      <x:c r="O77" s="34" t="str">
        <x:v>找出哪個環節沒做到，再設新一輪檢查。</x:v>
      </x:c>
      <x:c r="P77" s="34" t="str">
        <x:v>探究是循環歷程，未達標也是資料；依紀錄修正比美化或放棄更能改進。</x:v>
      </x:c>
      <x:c r="Q77" s="34" t="str">
        <x:v>你的判讀可被查證：查紀錄、調方法，再用同指標測量。這正是行動省思要比較的核心。</x:v>
      </x:c>
      <x:c r="R77" s="34" t="str">
        <x:v>焦點放錯了。請回看：找出哪個環節沒做到，再設新一輪檢查。</x:v>
      </x:c>
      <x:c r="S77" s="34" t="str">
        <x:v>這項推論缺少證據。請確認：找出哪個環節沒做到，再設新一輪檢查。</x:v>
      </x:c>
      <x:c r="T77" s="34" t="str">
        <x:v>「長期追蹤保存、參與、就業與環境」是「地方轉型」的重點，但不能回答本題的「行動省思」。請回看：找出哪個環節沒做到，再設新一輪檢查。</x:v>
      </x:c>
      <x:c r="U77" s="34" t="str">
        <x:v>判斷正確</x:v>
      </x:c>
      <x:c r="V77" s="34" t="str">
        <x:v>忽略利害關係人</x:v>
      </x:c>
      <x:c r="W77" s="34" t="str">
        <x:v>把意見當證據</x:v>
      </x:c>
      <x:c r="X77" s="34" t="str">
        <x:v>位置錯置</x:v>
      </x:c>
      <x:c r="Y77" s="34" t="str">
        <x:v>找出哪個環節沒做到，再設新一輪檢查。</x:v>
      </x:c>
      <x:c r="Z77" s="34" t="str">
        <x:v>查合法性，不投入無法承受的資金</x:v>
      </x:c>
      <x:c r="AA77" s="34" t="str">
        <x:v>相關各方應依資料協商文化與保育</x:v>
      </x:c>
      <x:c r="AB77" s="34" t="str">
        <x:v>A</x:v>
      </x:c>
      <x:c r="AC77" s="34" t="str">
        <x:v>這是判斷「行動省思」時要使用的依據。探究是循環歷程，未達標也是資料；依紀錄修正比美化或放棄更能改進。</x:v>
      </x:c>
      <x:c r="AD77" s="34" t="str">
        <x:v>這是「理財風險」的重點；本題要判斷的是「行動省思」，兩者不能互相代替。</x:v>
      </x:c>
      <x:c r="AE77" s="34" t="str">
        <x:v>這項知識屬於「權利權衡」，無法支持本題的「行動省思」判斷。</x:v>
      </x:c>
      <x:c r="AF77" s="34" t="str">
        <x:v>活動後用同一指標比較並記錄修改理由。</x:v>
      </x:c>
    </x:row>
    <x:row r="78" ht="76" customHeight="1">
      <x:c r="A78" s="34" t="str">
        <x:v>5A-U5</x:v>
      </x:c>
      <x:c r="B78" s="34" t="str">
        <x:v>五上</x:v>
      </x:c>
      <x:c r="C78" s="34" t="n">
        <x:v>5</x:v>
      </x:c>
      <x:c r="D78" s="34" t="str">
        <x:v>發現臺灣之美</x:v>
      </x:c>
      <x:c r="E78" s="34" t="str">
        <x:v>5A-U5-O5</x:v>
      </x:c>
      <x:c r="F78" s="34" t="n">
        <x:v>14</x:v>
      </x:c>
      <x:c r="G78" s="34" t="str">
        <x:v>證據判讀</x:v>
      </x:c>
      <x:c r="H78" s="34" t="str">
        <x:v>哪項資料最能支持「查紀錄、調方法，再用同指標測量」？</x:v>
      </x:c>
      <x:c r="I78" s="34" t="str">
        <x:v>和題目直接有關的資料</x:v>
      </x:c>
      <x:c r="J78" s="34" t="str">
        <x:v>查合法性，不投入無法承受的資金</x:v>
      </x:c>
      <x:c r="K78" s="34" t="str">
        <x:v>訂規則、維修配置與歸還責任</x:v>
      </x:c>
      <x:c r="L78" s="34" t="str">
        <x:v>設計耐用可修產品並回收再製</x:v>
      </x:c>
      <x:c r="M78" s="34" t="str">
        <x:v>A</x:v>
      </x:c>
      <x:c r="N78" s="34" t="str">
        <x:v>和題目直接有關的資料</x:v>
      </x:c>
      <x:c r="O78" s="34" t="str">
        <x:v>找出哪個環節沒做到，再設新一輪檢查。</x:v>
      </x:c>
      <x:c r="P78" s="34" t="str">
        <x:v>這題檢查的是證據能否直接支持「檢查執行紀錄與回饋，調整方法後用相同指標再測」，不是文字長短或票數。探究是循環歷程，未達標也是資料；依紀錄修正比美化或放棄更能改進。</x:v>
      </x:c>
      <x:c r="Q78" s="34" t="str">
        <x:v>判斷精準。「和題目直接有關的資料」直接回應行動省思，推論沒有超過資料。</x:v>
      </x:c>
      <x:c r="R78" s="34" t="str">
        <x:v>「查合法性，不投入無法承受的資金」是「理財風險」的重點，但不能回答本題的「行動省思」。請回看：找出哪個環節沒做到，再設新一輪檢查。</x:v>
      </x:c>
      <x:c r="S78" s="34" t="str">
        <x:v>「訂規則、維修配置與歸還責任」是「共享資源」的重點，但不能回答本題的「行動省思」。請回看：找出哪個環節沒做到，再設新一輪檢查。</x:v>
      </x:c>
      <x:c r="T78" s="34" t="str">
        <x:v>「設計耐用可修產品並回收再製」是「循環經濟」的重點，但不能回答本題的「行動省思」。請回看：找出哪個環節沒做到，再設新一輪檢查。</x:v>
      </x:c>
      <x:c r="U78" s="34" t="str">
        <x:v>判斷正確</x:v>
      </x:c>
      <x:c r="V78" s="34" t="str">
        <x:v>把意見當證據</x:v>
      </x:c>
      <x:c r="W78" s="34" t="str">
        <x:v>位置錯置</x:v>
      </x:c>
      <x:c r="X78" s="34" t="str">
        <x:v>忽略時空脈絡</x:v>
      </x:c>
      <x:c r="Y78" s="34" t="str">
        <x:v>找出哪個環節沒做到，再設新一輪檢查。</x:v>
      </x:c>
      <x:c r="Z78" s="34" t="str">
        <x:v>規範與法律的形成及強制力不同</x:v>
      </x:c>
      <x:c r="AA78" s="34" t="str">
        <x:v>港市帶動文化，但各族群影響不同</x:v>
      </x:c>
      <x:c r="AB78" s="34" t="str">
        <x:v>A</x:v>
      </x:c>
      <x:c r="AC78" s="34" t="str">
        <x:v>這是判斷「行動省思」時要使用的依據。探究是循環歷程，未達標也是資料；依紀錄修正比美化或放棄更能改進。</x:v>
      </x:c>
      <x:c r="AD78" s="34" t="str">
        <x:v>這是「規範與法律」的重點；本題要判斷的是「行動省思」，兩者不能互相代替。</x:v>
      </x:c>
      <x:c r="AE78" s="34" t="str">
        <x:v>這項知識屬於「港市與文化」，無法支持本題的「行動省思」判斷。</x:v>
      </x:c>
      <x:c r="AF78" s="34" t="str">
        <x:v>活動後用同一指標比較並記錄修改理由。</x:v>
      </x:c>
    </x:row>
    <x:row r="79" ht="76" customHeight="1">
      <x:c r="A79" s="34" t="str">
        <x:v>5A-U5</x:v>
      </x:c>
      <x:c r="B79" s="34" t="str">
        <x:v>五上</x:v>
      </x:c>
      <x:c r="C79" s="34" t="n">
        <x:v>5</x:v>
      </x:c>
      <x:c r="D79" s="34" t="str">
        <x:v>發現臺灣之美</x:v>
      </x:c>
      <x:c r="E79" s="34" t="str">
        <x:v>5A-U5-O5</x:v>
      </x:c>
      <x:c r="F79" s="34" t="n">
        <x:v>15</x:v>
      </x:c>
      <x:c r="G79" s="34" t="str">
        <x:v>迷思修正</x:v>
      </x:c>
      <x:c r="H79" s="34" t="str">
        <x:v>有人說：「更改原始數字讓成果好看」哪個答案能改正這個說法？</x:v>
      </x:c>
      <x:c r="I79" s="34" t="str">
        <x:v>查紀錄、調方法，再用同指標測量</x:v>
      </x:c>
      <x:c r="J79" s="34" t="str">
        <x:v>泥沙堆積使船難進出，港口轉移</x:v>
      </x:c>
      <x:c r="K79" s="34" t="str">
        <x:v>臺灣鄰近航路，利於貿易競爭</x:v>
      </x:c>
      <x:c r="L79" s="34" t="str">
        <x:v>南荷北西，後由鄭成功驅逐荷蘭</x:v>
      </x:c>
      <x:c r="M79" s="34" t="str">
        <x:v>A</x:v>
      </x:c>
      <x:c r="N79" s="34" t="str">
        <x:v>查紀錄、調方法，再用同指標測量</x:v>
      </x:c>
      <x:c r="O79" s="34" t="str">
        <x:v>找出哪個環節沒做到，再設新一輪檢查。</x:v>
      </x:c>
      <x:c r="P79" s="34" t="str">
        <x:v>迷思「更改原始數字讓成果好看」的問題，是它沒有處理「減塑行動後，垃圾量沒有明顯下降」提供的關鍵條件。探究是循環歷程，未達標也是資料；依紀錄修正比美化或放棄更能改進。</x:v>
      </x:c>
      <x:c r="Q79" s="34" t="str">
        <x:v>這項選擇成立：查紀錄、調方法，再用同指標測量。它抓住行動省思的關鍵條件。</x:v>
      </x:c>
      <x:c r="R79" s="34" t="str">
        <x:v>「泥沙堆積使船難進出，港口轉移」是「潟湖與港口」的重點，但不能回答本題的「行動省思」。請回看：找出哪個環節沒做到，再設新一輪檢查。</x:v>
      </x:c>
      <x:c r="S79" s="34" t="str">
        <x:v>「臺灣鄰近航路，利於貿易競爭」是「航海動機」的重點，但不能回答本題的「行動省思」。請回看：找出哪個環節沒做到，再設新一輪檢查。</x:v>
      </x:c>
      <x:c r="T79" s="34" t="str">
        <x:v>「南荷北西，後由鄭成功驅逐荷蘭」是「時序空間」的重點，但不能回答本題的「行動省思」。請回看：找出哪個環節沒做到，再設新一輪檢查。</x:v>
      </x:c>
      <x:c r="U79" s="34" t="str">
        <x:v>判斷正確</x:v>
      </x:c>
      <x:c r="V79" s="34" t="str">
        <x:v>位置錯置</x:v>
      </x:c>
      <x:c r="W79" s="34" t="str">
        <x:v>忽略時空脈絡</x:v>
      </x:c>
      <x:c r="X79" s="34" t="str">
        <x:v>過度概括</x:v>
      </x:c>
      <x:c r="Y79" s="34" t="str">
        <x:v>找出哪個環節沒做到，再設新一輪檢查。</x:v>
      </x:c>
      <x:c r="Z79" s="34" t="str">
        <x:v>合作修水圳，訂分水與維修規則</x:v>
      </x:c>
      <x:c r="AA79" s="34" t="str">
        <x:v>訂規則、維修配置與歸還責任</x:v>
      </x:c>
      <x:c r="AB79" s="34" t="str">
        <x:v>A</x:v>
      </x:c>
      <x:c r="AC79" s="34" t="str">
        <x:v>這是判斷「行動省思」時要使用的依據。探究是循環歷程，未達標也是資料；依紀錄修正比美化或放棄更能改進。</x:v>
      </x:c>
      <x:c r="AD79" s="34" t="str">
        <x:v>這是「水利開墾」的重點；本題要判斷的是「行動省思」，兩者不能互相代替。</x:v>
      </x:c>
      <x:c r="AE79" s="34" t="str">
        <x:v>這項知識屬於「共享資源」，無法支持本題的「行動省思」判斷。</x:v>
      </x:c>
      <x:c r="AF79" s="34" t="str">
        <x:v>活動後用同一指標比較並記錄修改理由。</x:v>
      </x:c>
    </x:row>
    <x:row r="80" ht="76" customHeight="1">
      <x:c r="A80" s="35" t="str">
        <x:v>5B-U1</x:v>
      </x:c>
      <x:c r="B80" s="35" t="str">
        <x:v>五下</x:v>
      </x:c>
      <x:c r="C80" s="35" t="n">
        <x:v>1</x:v>
      </x:c>
      <x:c r="D80" s="35" t="str">
        <x:v>唐山到臺灣</x:v>
      </x:c>
      <x:c r="E80" s="35" t="str">
        <x:v>5B-U1-O1</x:v>
      </x:c>
      <x:c r="F80" s="35" t="n">
        <x:v>1</x:v>
      </x:c>
      <x:c r="G80" s="35" t="str">
        <x:v>情境判斷</x:v>
      </x:c>
      <x:c r="H80" s="35" t="str">
        <x:v>清代移民由福建、廣東搭帆船渡海來臺。哪個答案最合理？</x:v>
      </x:c>
      <x:c r="I80" s="35" t="str">
        <x:v>季風影響航程與風險，但不保證安全</x:v>
      </x:c>
      <x:c r="J80" s="35" t="str">
        <x:v>季風能保證每艘船抵達</x:v>
      </x:c>
      <x:c r="K80" s="35" t="str">
        <x:v>有季風就不需船員經驗</x:v>
      </x:c>
      <x:c r="L80" s="35" t="str">
        <x:v>比較設置前後的發電、用電與環境</x:v>
      </x:c>
      <x:c r="M80" s="35" t="str">
        <x:v>A</x:v>
      </x:c>
      <x:c r="N80" s="35" t="str">
        <x:v>季風影響航程與風險，但不保證安全</x:v>
      </x:c>
      <x:c r="O80" s="35" t="str">
        <x:v>把船的動力和風向連起來。</x:v>
      </x:c>
      <x:c r="P80" s="35" t="str">
        <x:v>帆船依賴風力，季節風向會改變航路條件；船況、海象與經驗仍影響安全。</x:v>
      </x:c>
      <x:c r="Q80" s="35" t="str">
        <x:v>判斷精準。「季風影響航程與風險，但不保證安全」直接回應移民與季風，推論沒有超過資料。</x:v>
      </x:c>
      <x:c r="R80" s="35" t="str">
        <x:v>這項推論缺少證據。請確認：把船的動力和風向連起來。</x:v>
      </x:c>
      <x:c r="S80" s="35" t="str">
        <x:v>選項和題意關係較弱。提示：把船的動力和風向連起來。</x:v>
      </x:c>
      <x:c r="T80" s="35" t="str">
        <x:v>「比較設置前後的發電、用電與環境」是「能源提問」的重點，但不能回答本題的「移民與季風」。請回看：把船的動力和風向連起來。</x:v>
      </x:c>
      <x:c r="U80" s="35" t="str">
        <x:v>判斷正確</x:v>
      </x:c>
      <x:c r="V80" s="35" t="str">
        <x:v>忽略時空脈絡</x:v>
      </x:c>
      <x:c r="W80" s="35" t="str">
        <x:v>過度概括</x:v>
      </x:c>
      <x:c r="X80" s="35" t="str">
        <x:v>單因推論</x:v>
      </x:c>
      <x:c r="Y80" s="35" t="str">
        <x:v>把船的動力和風向連起來。</x:v>
      </x:c>
      <x:c r="Z80" s="35" t="str">
        <x:v>結合檔案、觀察與多方訪談</x:v>
      </x:c>
      <x:c r="AA80" s="35" t="str">
        <x:v>訂規則、維修配置與歸還責任</x:v>
      </x:c>
      <x:c r="AB80" s="35" t="str">
        <x:v>A</x:v>
      </x:c>
      <x:c r="AC80" s="35" t="str">
        <x:v>這是判斷「移民與季風」時要使用的依據。帆船依賴風力，季節風向會改變航路條件；船況、海象與經驗仍影響安全。</x:v>
      </x:c>
      <x:c r="AD80" s="35" t="str">
        <x:v>這是「多元資料」的重點；本題要判斷的是「移民與季風」，兩者不能互相代替。</x:v>
      </x:c>
      <x:c r="AE80" s="35" t="str">
        <x:v>這項知識屬於「共享資源」，無法支持本題的「移民與季風」判斷。</x:v>
      </x:c>
      <x:c r="AF80" s="35" t="str">
        <x:v>海上活動要依預報評估而非只看日期。</x:v>
      </x:c>
    </x:row>
    <x:row r="81" ht="76" customHeight="1">
      <x:c r="A81" s="35" t="str">
        <x:v>5B-U1</x:v>
      </x:c>
      <x:c r="B81" s="35" t="str">
        <x:v>五下</x:v>
      </x:c>
      <x:c r="C81" s="35" t="n">
        <x:v>1</x:v>
      </x:c>
      <x:c r="D81" s="35" t="str">
        <x:v>唐山到臺灣</x:v>
      </x:c>
      <x:c r="E81" s="35" t="str">
        <x:v>5B-U1-O1</x:v>
      </x:c>
      <x:c r="F81" s="35" t="n">
        <x:v>2</x:v>
      </x:c>
      <x:c r="G81" s="35" t="str">
        <x:v>證據判讀</x:v>
      </x:c>
      <x:c r="H81" s="35" t="str">
        <x:v>哪項資料最能支持「季風影響航程與風險，但不保證安全」？</x:v>
      </x:c>
      <x:c r="I81" s="35" t="str">
        <x:v>和題目直接有關的資料</x:v>
      </x:c>
      <x:c r="J81" s="35" t="str">
        <x:v>比較雙方立場、目的與證據</x:v>
      </x:c>
      <x:c r="K81" s="35" t="str">
        <x:v>貿易增加，也改變土地與族群關係</x:v>
      </x:c>
      <x:c r="L81" s="35" t="str">
        <x:v>聚焦特定海岸、時間與不同觀點</x:v>
      </x:c>
      <x:c r="M81" s="35" t="str">
        <x:v>A</x:v>
      </x:c>
      <x:c r="N81" s="35" t="str">
        <x:v>和題目直接有關的資料</x:v>
      </x:c>
      <x:c r="O81" s="35" t="str">
        <x:v>把船的動力和風向連起來。</x:v>
      </x:c>
      <x:c r="P81" s="35" t="str">
        <x:v>這題檢查的是證據能否直接支持「風向與季節會影響航程時間與風險，但不能保證安全」，不是文字長短或票數。帆船依賴風力，季節風向會改變航路條件；船況、海象與經驗仍影響安全。</x:v>
      </x:c>
      <x:c r="Q81" s="35" t="str">
        <x:v>這項選擇成立：和題目直接有關的資料。它抓住移民與季風的關鍵條件。</x:v>
      </x:c>
      <x:c r="R81" s="35" t="str">
        <x:v>「比較雙方立場、目的與證據」是「多元觀點」的重點，但不能回答本題的「移民與季風」。請回看：把船的動力和風向連起來。</x:v>
      </x:c>
      <x:c r="S81" s="35" t="str">
        <x:v>「貿易增加，也改變土地與族群關係」是「貿易影響」的重點，但不能回答本題的「移民與季風」。請回看：把船的動力和風向連起來。</x:v>
      </x:c>
      <x:c r="T81" s="35" t="str">
        <x:v>「聚焦特定海岸、時間與不同觀點」是「問題形成」的重點，但不能回答本題的「移民與季風」。請回看：把船的動力和風向連起來。</x:v>
      </x:c>
      <x:c r="U81" s="35" t="str">
        <x:v>判斷正確</x:v>
      </x:c>
      <x:c r="V81" s="35" t="str">
        <x:v>過度概括</x:v>
      </x:c>
      <x:c r="W81" s="35" t="str">
        <x:v>單因推論</x:v>
      </x:c>
      <x:c r="X81" s="35" t="str">
        <x:v>證據不足</x:v>
      </x:c>
      <x:c r="Y81" s="35" t="str">
        <x:v>把船的動力和風向連起來。</x:v>
      </x:c>
      <x:c r="Z81" s="35" t="str">
        <x:v>查合法性，不投入無法承受的資金</x:v>
      </x:c>
      <x:c r="AA81" s="35" t="str">
        <x:v>相關各方應依資料協商文化與保育</x:v>
      </x:c>
      <x:c r="AB81" s="35" t="str">
        <x:v>A</x:v>
      </x:c>
      <x:c r="AC81" s="35" t="str">
        <x:v>這是判斷「移民與季風」時要使用的依據。帆船依賴風力，季節風向會改變航路條件；船況、海象與經驗仍影響安全。</x:v>
      </x:c>
      <x:c r="AD81" s="35" t="str">
        <x:v>這是「理財風險」的重點；本題要判斷的是「移民與季風」，兩者不能互相代替。</x:v>
      </x:c>
      <x:c r="AE81" s="35" t="str">
        <x:v>這項知識屬於「權利權衡」，無法支持本題的「移民與季風」判斷。</x:v>
      </x:c>
      <x:c r="AF81" s="35" t="str">
        <x:v>海上活動要依預報評估而非只看日期。</x:v>
      </x:c>
    </x:row>
    <x:row r="82" ht="76" customHeight="1">
      <x:c r="A82" s="35" t="str">
        <x:v>5B-U1</x:v>
      </x:c>
      <x:c r="B82" s="35" t="str">
        <x:v>五下</x:v>
      </x:c>
      <x:c r="C82" s="35" t="n">
        <x:v>1</x:v>
      </x:c>
      <x:c r="D82" s="35" t="str">
        <x:v>唐山到臺灣</x:v>
      </x:c>
      <x:c r="E82" s="35" t="str">
        <x:v>5B-U1-O1</x:v>
      </x:c>
      <x:c r="F82" s="35" t="n">
        <x:v>3</x:v>
      </x:c>
      <x:c r="G82" s="35" t="str">
        <x:v>迷思修正</x:v>
      </x:c>
      <x:c r="H82" s="35" t="str">
        <x:v>有人說：「季風能保證每艘船抵達」哪個答案能改正這個說法？</x:v>
      </x:c>
      <x:c r="I82" s="35" t="str">
        <x:v>季風影響航程與風險，但不保證安全</x:v>
      </x:c>
      <x:c r="J82" s="35" t="str">
        <x:v>訪談多方並搭配噪音與發電資料</x:v>
      </x:c>
      <x:c r="K82" s="35" t="str">
        <x:v>比較對象、程度、證據與改善方法</x:v>
      </x:c>
      <x:c r="L82" s="35" t="str">
        <x:v>用共同目標與相同標準調整方案</x:v>
      </x:c>
      <x:c r="M82" s="35" t="str">
        <x:v>A</x:v>
      </x:c>
      <x:c r="N82" s="35" t="str">
        <x:v>季風影響航程與風險，但不保證安全</x:v>
      </x:c>
      <x:c r="O82" s="35" t="str">
        <x:v>把船的動力和風向連起來。</x:v>
      </x:c>
      <x:c r="P82" s="35" t="str">
        <x:v>迷思「季風能保證每艘船抵達」的問題，是它沒有處理「清代移民由福建、廣東搭帆船渡海來臺」提供的關鍵條件。帆船依賴風力，季節風向會改變航路條件；船況、海象與經驗仍影響安全。</x:v>
      </x:c>
      <x:c r="Q82" s="35" t="str">
        <x:v>證據吻合。選項「季風影響航程與風險，但不保證安全」能把移民與季風的線索合理連起來。</x:v>
      </x:c>
      <x:c r="R82" s="35" t="str">
        <x:v>「訪談多方並搭配噪音與發電資料」是「多元觀點」的重點，但不能回答本題的「移民與季風」。請回看：把船的動力和風向連起來。</x:v>
      </x:c>
      <x:c r="S82" s="35" t="str">
        <x:v>「比較對象、程度、證據與改善方法」是「分析權衡」的重點，但不能回答本題的「移民與季風」。請回看：把船的動力和風向連起來。</x:v>
      </x:c>
      <x:c r="T82" s="35" t="str">
        <x:v>「用共同目標與相同標準調整方案」是「共識與程序」的重點，但不能回答本題的「移民與季風」。請回看：把船的動力和風向連起來。</x:v>
      </x:c>
      <x:c r="U82" s="35" t="str">
        <x:v>判斷正確</x:v>
      </x:c>
      <x:c r="V82" s="35" t="str">
        <x:v>單因推論</x:v>
      </x:c>
      <x:c r="W82" s="35" t="str">
        <x:v>證據不足</x:v>
      </x:c>
      <x:c r="X82" s="35" t="str">
        <x:v>忽略利害關係人</x:v>
      </x:c>
      <x:c r="Y82" s="35" t="str">
        <x:v>把船的動力和風向連起來。</x:v>
      </x:c>
      <x:c r="Z82" s="35" t="str">
        <x:v>比較地形、風浪、泥沙與停靠條件</x:v>
      </x:c>
      <x:c r="AA82" s="35" t="str">
        <x:v>聚焦特定海岸、時間與不同觀點</x:v>
      </x:c>
      <x:c r="AB82" s="35" t="str">
        <x:v>A</x:v>
      </x:c>
      <x:c r="AC82" s="35" t="str">
        <x:v>這是判斷「移民與季風」時要使用的依據。帆船依賴風力，季節風向會改變航路條件；船況、海象與經驗仍影響安全。</x:v>
      </x:c>
      <x:c r="AD82" s="35" t="str">
        <x:v>這是「海岸變遷」的重點；本題要判斷的是「移民與季風」，兩者不能互相代替。</x:v>
      </x:c>
      <x:c r="AE82" s="35" t="str">
        <x:v>這項知識屬於「問題形成」，無法支持本題的「移民與季風」判斷。</x:v>
      </x:c>
      <x:c r="AF82" s="35" t="str">
        <x:v>海上活動要依預報評估而非只看日期。</x:v>
      </x:c>
    </x:row>
    <x:row r="83" ht="76" customHeight="1">
      <x:c r="A83" s="35" t="str">
        <x:v>5B-U1</x:v>
      </x:c>
      <x:c r="B83" s="35" t="str">
        <x:v>五下</x:v>
      </x:c>
      <x:c r="C83" s="35" t="n">
        <x:v>1</x:v>
      </x:c>
      <x:c r="D83" s="35" t="str">
        <x:v>唐山到臺灣</x:v>
      </x:c>
      <x:c r="E83" s="35" t="str">
        <x:v>5B-U1-O2</x:v>
      </x:c>
      <x:c r="F83" s="35" t="n">
        <x:v>4</x:v>
      </x:c>
      <x:c r="G83" s="35" t="str">
        <x:v>情境判斷</x:v>
      </x:c>
      <x:c r="H83" s="35" t="str">
        <x:v>臺灣河川短陡，降雨季節差異大，農田需要穩定灌溉。哪個答案最合理？</x:v>
      </x:c>
      <x:c r="I83" s="35" t="str">
        <x:v>合作修水圳，訂分水與維修規則</x:v>
      </x:c>
      <x:c r="J83" s="35" t="str">
        <x:v>認定河水全年平均且不氾濫</x:v>
      </x:c>
      <x:c r="K83" s="35" t="str">
        <x:v>每戶各自搶水，不必協調</x:v>
      </x:c>
      <x:c r="L83" s="35" t="str">
        <x:v>遺物顯示可能已有農耕定居生活</x:v>
      </x:c>
      <x:c r="M83" s="35" t="str">
        <x:v>A</x:v>
      </x:c>
      <x:c r="N83" s="35" t="str">
        <x:v>合作修水圳，訂分水與維修規則</x:v>
      </x:c>
      <x:c r="O83" s="35" t="str">
        <x:v>工程和共同管理缺一不可。</x:v>
      </x:c>
      <x:c r="P83" s="35" t="str">
        <x:v>水利工程可調節水量，但跨越多人土地，必須持續分配、維修並處理洪旱。</x:v>
      </x:c>
      <x:c r="Q83" s="35" t="str">
        <x:v>這項選擇成立：合作修水圳，訂分水與維修規則。它抓住水利開墾的關鍵條件。</x:v>
      </x:c>
      <x:c r="R83" s="35" t="str">
        <x:v>選項和題意關係較弱。提示：工程和共同管理缺一不可。</x:v>
      </x:c>
      <x:c r="S83" s="35" t="str">
        <x:v>這裡混淆了條件與結論。提示：工程和共同管理缺一不可。</x:v>
      </x:c>
      <x:c r="T83" s="35" t="str">
        <x:v>「遺物顯示可能已有農耕定居生活」是「史前證據」的重點，但不能回答本題的「水利開墾」。請回看：工程和共同管理缺一不可。</x:v>
      </x:c>
      <x:c r="U83" s="35" t="str">
        <x:v>判斷正確</x:v>
      </x:c>
      <x:c r="V83" s="35" t="str">
        <x:v>過度概括</x:v>
      </x:c>
      <x:c r="W83" s="35" t="str">
        <x:v>單因推論</x:v>
      </x:c>
      <x:c r="X83" s="35" t="str">
        <x:v>證據不足</x:v>
      </x:c>
      <x:c r="Y83" s="35" t="str">
        <x:v>工程和共同管理缺一不可。</x:v>
      </x:c>
      <x:c r="Z83" s="35" t="str">
        <x:v>海防受重視，建省與建設強化治理</x:v>
      </x:c>
      <x:c r="AA83" s="35" t="str">
        <x:v>選能看見臺灣、鄰國與航線的區域圖</x:v>
      </x:c>
      <x:c r="AB83" s="35" t="str">
        <x:v>A</x:v>
      </x:c>
      <x:c r="AC83" s="35" t="str">
        <x:v>這是判斷「水利開墾」時要使用的依據。水利工程可調節水量，但跨越多人土地，必須持續分配、維修並處理洪旱。</x:v>
      </x:c>
      <x:c r="AD83" s="35" t="str">
        <x:v>這是「清法戰爭與建省」的重點；本題要判斷的是「水利開墾」，兩者不能互相代替。</x:v>
      </x:c>
      <x:c r="AE83" s="35" t="str">
        <x:v>這項知識屬於「地圖尺度」，無法支持本題的「水利開墾」判斷。</x:v>
      </x:c>
      <x:c r="AF83" s="35" t="str">
        <x:v>共用設備也要約定使用和維護責任。</x:v>
      </x:c>
    </x:row>
    <x:row r="84" ht="76" customHeight="1">
      <x:c r="A84" s="35" t="str">
        <x:v>5B-U1</x:v>
      </x:c>
      <x:c r="B84" s="35" t="str">
        <x:v>五下</x:v>
      </x:c>
      <x:c r="C84" s="35" t="n">
        <x:v>1</x:v>
      </x:c>
      <x:c r="D84" s="35" t="str">
        <x:v>唐山到臺灣</x:v>
      </x:c>
      <x:c r="E84" s="35" t="str">
        <x:v>5B-U1-O2</x:v>
      </x:c>
      <x:c r="F84" s="35" t="n">
        <x:v>5</x:v>
      </x:c>
      <x:c r="G84" s="35" t="str">
        <x:v>證據判讀</x:v>
      </x:c>
      <x:c r="H84" s="35" t="str">
        <x:v>哪項資料最能支持「合作修水圳，訂分水與維修規則」？</x:v>
      </x:c>
      <x:c r="I84" s="35" t="str">
        <x:v>和題目直接有關的資料</x:v>
      </x:c>
      <x:c r="J84" s="35" t="str">
        <x:v>比較具體貢獻、限制與在地回應</x:v>
      </x:c>
      <x:c r="K84" s="35" t="str">
        <x:v>外力暴露治理不足，促使政策改變</x:v>
      </x:c>
      <x:c r="L84" s="35" t="str">
        <x:v>海防受重視，建省與建設強化治理</x:v>
      </x:c>
      <x:c r="M84" s="35" t="str">
        <x:v>A</x:v>
      </x:c>
      <x:c r="N84" s="35" t="str">
        <x:v>和題目直接有關的資料</x:v>
      </x:c>
      <x:c r="O84" s="35" t="str">
        <x:v>工程和共同管理缺一不可。</x:v>
      </x:c>
      <x:c r="P84" s="35" t="str">
        <x:v>這題檢查的是證據能否直接支持「合作修築水圳或埤塘，並訂分水與維修規則」，不是文字長短或票數。水利工程可調節水量，但跨越多人土地，必須持續分配、維修並處理洪旱。</x:v>
      </x:c>
      <x:c r="Q84" s="35" t="str">
        <x:v>證據吻合。選項「和題目直接有關的資料」能把水利開墾的線索合理連起來。</x:v>
      </x:c>
      <x:c r="R84" s="35" t="str">
        <x:v>「比較具體貢獻、限制與在地回應」是「人物與交流」的重點，但不能回答本題的「水利開墾」。請回看：工程和共同管理缺一不可。</x:v>
      </x:c>
      <x:c r="S84" s="35" t="str">
        <x:v>「外力暴露治理不足，促使政策改變」是「牡丹社事件」的重點，但不能回答本題的「水利開墾」。請回看：工程和共同管理缺一不可。</x:v>
      </x:c>
      <x:c r="T84" s="35" t="str">
        <x:v>「海防受重視，建省與建設強化治理」是「清法戰爭與建省」的重點，但不能回答本題的「水利開墾」。請回看：工程和共同管理缺一不可。</x:v>
      </x:c>
      <x:c r="U84" s="35" t="str">
        <x:v>判斷正確</x:v>
      </x:c>
      <x:c r="V84" s="35" t="str">
        <x:v>單因推論</x:v>
      </x:c>
      <x:c r="W84" s="35" t="str">
        <x:v>證據不足</x:v>
      </x:c>
      <x:c r="X84" s="35" t="str">
        <x:v>忽略利害關係人</x:v>
      </x:c>
      <x:c r="Y84" s="35" t="str">
        <x:v>工程和共同管理缺一不可。</x:v>
      </x:c>
      <x:c r="Z84" s="35" t="str">
        <x:v>設基準與措施，四週後同指標比較</x:v>
      </x:c>
      <x:c r="AA84" s="35" t="str">
        <x:v>臺灣鄰近航路，利於貿易競爭</x:v>
      </x:c>
      <x:c r="AB84" s="35" t="str">
        <x:v>A</x:v>
      </x:c>
      <x:c r="AC84" s="35" t="str">
        <x:v>這是判斷「水利開墾」時要使用的依據。水利工程可調節水量，但跨越多人土地，必須持續分配、維修並處理洪旱。</x:v>
      </x:c>
      <x:c r="AD84" s="35" t="str">
        <x:v>這是「行動評估」的重點；本題要判斷的是「水利開墾」，兩者不能互相代替。</x:v>
      </x:c>
      <x:c r="AE84" s="35" t="str">
        <x:v>這項知識屬於「航海動機」，無法支持本題的「水利開墾」判斷。</x:v>
      </x:c>
      <x:c r="AF84" s="35" t="str">
        <x:v>共用設備也要約定使用和維護責任。</x:v>
      </x:c>
    </x:row>
    <x:row r="85" ht="76" customHeight="1">
      <x:c r="A85" s="35" t="str">
        <x:v>5B-U1</x:v>
      </x:c>
      <x:c r="B85" s="35" t="str">
        <x:v>五下</x:v>
      </x:c>
      <x:c r="C85" s="35" t="n">
        <x:v>1</x:v>
      </x:c>
      <x:c r="D85" s="35" t="str">
        <x:v>唐山到臺灣</x:v>
      </x:c>
      <x:c r="E85" s="35" t="str">
        <x:v>5B-U1-O2</x:v>
      </x:c>
      <x:c r="F85" s="35" t="n">
        <x:v>6</x:v>
      </x:c>
      <x:c r="G85" s="35" t="str">
        <x:v>迷思修正</x:v>
      </x:c>
      <x:c r="H85" s="35" t="str">
        <x:v>有人說：「認定河水全年平均且不氾濫」哪個答案能改正這個說法？</x:v>
      </x:c>
      <x:c r="I85" s="35" t="str">
        <x:v>合作修水圳，訂分水與維修規則</x:v>
      </x:c>
      <x:c r="J85" s="35" t="str">
        <x:v>分族查資料，再比較文化異同</x:v>
      </x:c>
      <x:c r="K85" s="35" t="str">
        <x:v>環境、季節與歷史共同影響生活</x:v>
      </x:c>
      <x:c r="L85" s="35" t="str">
        <x:v>規範與法律的形成及強制力不同</x:v>
      </x:c>
      <x:c r="M85" s="35" t="str">
        <x:v>A</x:v>
      </x:c>
      <x:c r="N85" s="35" t="str">
        <x:v>合作修水圳，訂分水與維修規則</x:v>
      </x:c>
      <x:c r="O85" s="35" t="str">
        <x:v>工程和共同管理缺一不可。</x:v>
      </x:c>
      <x:c r="P85" s="35" t="str">
        <x:v>迷思「認定河水全年平均且不氾濫」的問題，是它沒有處理「臺灣河川短陡，降雨季節差異大，農田需要穩定灌溉」提供的關鍵條件。水利工程可調節水量，但跨越多人土地，必須持續分配、維修並處理洪旱。</x:v>
      </x:c>
      <x:c r="Q85" s="35" t="str">
        <x:v>答對了；「合作修水圳，訂分水與維修規則」同時保留了水利開墾需要的範圍與限制。</x:v>
      </x:c>
      <x:c r="R85" s="35" t="str">
        <x:v>「分族查資料，再比較文化異同」是「文化多樣性」的重點，但不能回答本題的「水利開墾」。請回看：工程和共同管理缺一不可。</x:v>
      </x:c>
      <x:c r="S85" s="35" t="str">
        <x:v>「環境、季節與歷史共同影響生活」是「環境與生活」的重點，但不能回答本題的「水利開墾」。請回看：工程和共同管理缺一不可。</x:v>
      </x:c>
      <x:c r="T85" s="35" t="str">
        <x:v>「規範與法律的形成及強制力不同」是「規範與法律」的重點，但不能回答本題的「水利開墾」。請回看：工程和共同管理缺一不可。</x:v>
      </x:c>
      <x:c r="U85" s="35" t="str">
        <x:v>判斷正確</x:v>
      </x:c>
      <x:c r="V85" s="35" t="str">
        <x:v>證據不足</x:v>
      </x:c>
      <x:c r="W85" s="35" t="str">
        <x:v>忽略利害關係人</x:v>
      </x:c>
      <x:c r="X85" s="35" t="str">
        <x:v>把意見當證據</x:v>
      </x:c>
      <x:c r="Y85" s="35" t="str">
        <x:v>工程和共同管理缺一不可。</x:v>
      </x:c>
      <x:c r="Z85" s="35" t="str">
        <x:v>查明進口木材是否來自永續來源</x:v>
      </x:c>
      <x:c r="AA85" s="35" t="str">
        <x:v>電力帶來便利，也增加供電依賴</x:v>
      </x:c>
      <x:c r="AB85" s="35" t="str">
        <x:v>A</x:v>
      </x:c>
      <x:c r="AC85" s="35" t="str">
        <x:v>這是判斷「水利開墾」時要使用的依據。水利工程可調節水量，但跨越多人土地，必須持續分配、維修並處理洪旱。</x:v>
      </x:c>
      <x:c r="AD85" s="35" t="str">
        <x:v>這是「森林供應鏈」的重點；本題要判斷的是「水利開墾」，兩者不能互相代替。</x:v>
      </x:c>
      <x:c r="AE85" s="35" t="str">
        <x:v>這項知識屬於「電力與生活」，無法支持本題的「水利開墾」判斷。</x:v>
      </x:c>
      <x:c r="AF85" s="35" t="str">
        <x:v>共用設備也要約定使用和維護責任。</x:v>
      </x:c>
    </x:row>
    <x:row r="86" ht="76" customHeight="1">
      <x:c r="A86" s="35" t="str">
        <x:v>5B-U1</x:v>
      </x:c>
      <x:c r="B86" s="35" t="str">
        <x:v>五下</x:v>
      </x:c>
      <x:c r="C86" s="35" t="n">
        <x:v>1</x:v>
      </x:c>
      <x:c r="D86" s="35" t="str">
        <x:v>唐山到臺灣</x:v>
      </x:c>
      <x:c r="E86" s="35" t="str">
        <x:v>5B-U1-O3</x:v>
      </x:c>
      <x:c r="F86" s="35" t="n">
        <x:v>7</x:v>
      </x:c>
      <x:c r="G86" s="35" t="str">
        <x:v>情境判斷</x:v>
      </x:c>
      <x:c r="H86" s="35" t="str">
        <x:v>清廷限制渡臺，仍有人冒險來臺開墾。哪個答案最合理？</x:v>
      </x:c>
      <x:c r="I86" s="35" t="str">
        <x:v>生活、機會與政策共同影響移動</x:v>
      </x:c>
      <x:c r="J86" s="35" t="str">
        <x:v>限制令能使所有移民立刻消失</x:v>
      </x:c>
      <x:c r="K86" s="35" t="str">
        <x:v>移民都不知道海上有危險</x:v>
      </x:c>
      <x:c r="L86" s="35" t="str">
        <x:v>查明進口木材是否來自永續來源</x:v>
      </x:c>
      <x:c r="M86" s="35" t="str">
        <x:v>A</x:v>
      </x:c>
      <x:c r="N86" s="35" t="str">
        <x:v>生活、機會與政策共同影響移動</x:v>
      </x:c>
      <x:c r="O86" s="35" t="str">
        <x:v>從原鄉、目的地和政策三面向想。</x:v>
      </x:c>
      <x:c r="P86" s="35" t="str">
        <x:v>人口移動同時受推力、拉力與制度約束，限制並不等於完全阻止。</x:v>
      </x:c>
      <x:c r="Q86" s="35" t="str">
        <x:v>證據吻合。選項「生活、機會與政策共同影響移動」能把遷移原因的線索合理連起來。</x:v>
      </x:c>
      <x:c r="R86" s="35" t="str">
        <x:v>這裡混淆了條件與結論。提示：從原鄉、目的地和政策三面向想。</x:v>
      </x:c>
      <x:c r="S86" s="35" t="str">
        <x:v>這項判斷忽略重要限制。請想想：從原鄉、目的地和政策三面向想。</x:v>
      </x:c>
      <x:c r="T86" s="35" t="str">
        <x:v>「查明進口木材是否來自永續來源」是「森林供應鏈」的重點，但不能回答本題的「遷移原因」。請回看：從原鄉、目的地和政策三面向想。</x:v>
      </x:c>
      <x:c r="U86" s="35" t="str">
        <x:v>判斷正確</x:v>
      </x:c>
      <x:c r="V86" s="35" t="str">
        <x:v>單因推論</x:v>
      </x:c>
      <x:c r="W86" s="35" t="str">
        <x:v>證據不足</x:v>
      </x:c>
      <x:c r="X86" s="35" t="str">
        <x:v>忽略利害關係人</x:v>
      </x:c>
      <x:c r="Y86" s="35" t="str">
        <x:v>從原鄉、目的地和政策三面向想。</x:v>
      </x:c>
      <x:c r="Z86" s="35" t="str">
        <x:v>保存證據，再循正式管道申訴</x:v>
      </x:c>
      <x:c r="AA86" s="35" t="str">
        <x:v>規範可調整，互助目的仍保留</x:v>
      </x:c>
      <x:c r="AB86" s="35" t="str">
        <x:v>A</x:v>
      </x:c>
      <x:c r="AC86" s="35" t="str">
        <x:v>這是判斷「遷移原因」時要使用的依據。人口移動同時受推力、拉力與制度約束，限制並不等於完全阻止。</x:v>
      </x:c>
      <x:c r="AD86" s="35" t="str">
        <x:v>這是「消費權益」的重點；本題要判斷的是「遷移原因」，兩者不能互相代替。</x:v>
      </x:c>
      <x:c r="AE86" s="35" t="str">
        <x:v>這項知識屬於「規範變遷」，無法支持本題的「遷移原因」判斷。</x:v>
      </x:c>
      <x:c r="AF86" s="35" t="str">
        <x:v>分析人口移動時避免只用單一原因。</x:v>
      </x:c>
    </x:row>
    <x:row r="87" ht="76" customHeight="1">
      <x:c r="A87" s="35" t="str">
        <x:v>5B-U1</x:v>
      </x:c>
      <x:c r="B87" s="35" t="str">
        <x:v>五下</x:v>
      </x:c>
      <x:c r="C87" s="35" t="n">
        <x:v>1</x:v>
      </x:c>
      <x:c r="D87" s="35" t="str">
        <x:v>唐山到臺灣</x:v>
      </x:c>
      <x:c r="E87" s="35" t="str">
        <x:v>5B-U1-O3</x:v>
      </x:c>
      <x:c r="F87" s="35" t="n">
        <x:v>8</x:v>
      </x:c>
      <x:c r="G87" s="35" t="str">
        <x:v>證據判讀</x:v>
      </x:c>
      <x:c r="H87" s="35" t="str">
        <x:v>哪項資料最能支持「生活、機會與政策共同影響移動」？</x:v>
      </x:c>
      <x:c r="I87" s="35" t="str">
        <x:v>和題目直接有關的資料</x:v>
      </x:c>
      <x:c r="J87" s="35" t="str">
        <x:v>保存證據，再循正式管道申訴</x:v>
      </x:c>
      <x:c r="K87" s="35" t="str">
        <x:v>查合法性，不投入無法承受的資金</x:v>
      </x:c>
      <x:c r="L87" s="35" t="str">
        <x:v>訂規則、維修配置與歸還責任</x:v>
      </x:c>
      <x:c r="M87" s="35" t="str">
        <x:v>A</x:v>
      </x:c>
      <x:c r="N87" s="35" t="str">
        <x:v>和題目直接有關的資料</x:v>
      </x:c>
      <x:c r="O87" s="35" t="str">
        <x:v>從原鄉、目的地和政策三面向想。</x:v>
      </x:c>
      <x:c r="P87" s="35" t="str">
        <x:v>這題檢查的是證據能否直接支持「原鄉生計壓力、臺灣機會與政策限制共同影響選擇」，不是文字長短或票數。人口移動同時受推力、拉力與制度約束，限制並不等於完全阻止。</x:v>
      </x:c>
      <x:c r="Q87" s="35" t="str">
        <x:v>答對了；「和題目直接有關的資料」同時保留了遷移原因需要的範圍與限制。</x:v>
      </x:c>
      <x:c r="R87" s="35" t="str">
        <x:v>「保存證據，再循正式管道申訴」是「消費權益」的重點，但不能回答本題的「遷移原因」。請回看：從原鄉、目的地和政策三面向想。</x:v>
      </x:c>
      <x:c r="S87" s="35" t="str">
        <x:v>「查合法性，不投入無法承受的資金」是「理財風險」的重點，但不能回答本題的「遷移原因」。請回看：從原鄉、目的地和政策三面向想。</x:v>
      </x:c>
      <x:c r="T87" s="35" t="str">
        <x:v>「訂規則、維修配置與歸還責任」是「共享資源」的重點，但不能回答本題的「遷移原因」。請回看：從原鄉、目的地和政策三面向想。</x:v>
      </x:c>
      <x:c r="U87" s="35" t="str">
        <x:v>判斷正確</x:v>
      </x:c>
      <x:c r="V87" s="35" t="str">
        <x:v>證據不足</x:v>
      </x:c>
      <x:c r="W87" s="35" t="str">
        <x:v>忽略利害關係人</x:v>
      </x:c>
      <x:c r="X87" s="35" t="str">
        <x:v>把意見當證據</x:v>
      </x:c>
      <x:c r="Y87" s="35" t="str">
        <x:v>從原鄉、目的地和政策三面向想。</x:v>
      </x:c>
      <x:c r="Z87" s="35" t="str">
        <x:v>環境、季節與歷史共同影響生活</x:v>
      </x:c>
      <x:c r="AA87" s="35" t="str">
        <x:v>限定結論範圍並說明調查限制</x:v>
      </x:c>
      <x:c r="AB87" s="35" t="str">
        <x:v>A</x:v>
      </x:c>
      <x:c r="AC87" s="35" t="str">
        <x:v>這是判斷「遷移原因」時要使用的依據。人口移動同時受推力、拉力與制度約束，限制並不等於完全阻止。</x:v>
      </x:c>
      <x:c r="AD87" s="35" t="str">
        <x:v>這是「環境與生活」的重點；本題要判斷的是「遷移原因」，兩者不能互相代替。</x:v>
      </x:c>
      <x:c r="AE87" s="35" t="str">
        <x:v>這項知識屬於「結論界線」，無法支持本題的「遷移原因」判斷。</x:v>
      </x:c>
      <x:c r="AF87" s="35" t="str">
        <x:v>分析人口移動時避免只用單一原因。</x:v>
      </x:c>
    </x:row>
    <x:row r="88" ht="76" customHeight="1">
      <x:c r="A88" s="35" t="str">
        <x:v>5B-U1</x:v>
      </x:c>
      <x:c r="B88" s="35" t="str">
        <x:v>五下</x:v>
      </x:c>
      <x:c r="C88" s="35" t="n">
        <x:v>1</x:v>
      </x:c>
      <x:c r="D88" s="35" t="str">
        <x:v>唐山到臺灣</x:v>
      </x:c>
      <x:c r="E88" s="35" t="str">
        <x:v>5B-U1-O3</x:v>
      </x:c>
      <x:c r="F88" s="35" t="n">
        <x:v>9</x:v>
      </x:c>
      <x:c r="G88" s="35" t="str">
        <x:v>迷思修正</x:v>
      </x:c>
      <x:c r="H88" s="35" t="str">
        <x:v>有人說：「限制令能使所有移民立刻消失」哪個答案能改正這個說法？</x:v>
      </x:c>
      <x:c r="I88" s="35" t="str">
        <x:v>生活、機會與政策共同影響移動</x:v>
      </x:c>
      <x:c r="J88" s="35" t="str">
        <x:v>長期追蹤保存、參與、就業與環境</x:v>
      </x:c>
      <x:c r="K88" s="35" t="str">
        <x:v>泥沙堆積使船難進出，港口轉移</x:v>
      </x:c>
      <x:c r="L88" s="35" t="str">
        <x:v>臺灣鄰近航路，利於貿易競爭</x:v>
      </x:c>
      <x:c r="M88" s="35" t="str">
        <x:v>A</x:v>
      </x:c>
      <x:c r="N88" s="35" t="str">
        <x:v>生活、機會與政策共同影響移動</x:v>
      </x:c>
      <x:c r="O88" s="35" t="str">
        <x:v>從原鄉、目的地和政策三面向想。</x:v>
      </x:c>
      <x:c r="P88" s="35" t="str">
        <x:v>迷思「限制令能使所有移民立刻消失」的問題，是它沒有處理「清廷限制渡臺，仍有人冒險來臺開墾」提供的關鍵條件。人口移動同時受推力、拉力與制度約束，限制並不等於完全阻止。</x:v>
      </x:c>
      <x:c r="Q88" s="35" t="str">
        <x:v>你的判讀可被查證：生活、機會與政策共同影響移動。這正是遷移原因要比較的核心。</x:v>
      </x:c>
      <x:c r="R88" s="35" t="str">
        <x:v>「長期追蹤保存、參與、就業與環境」是「地方轉型」的重點，但不能回答本題的「遷移原因」。請回看：從原鄉、目的地和政策三面向想。</x:v>
      </x:c>
      <x:c r="S88" s="35" t="str">
        <x:v>「泥沙堆積使船難進出，港口轉移」是「潟湖與港口」的重點，但不能回答本題的「遷移原因」。請回看：從原鄉、目的地和政策三面向想。</x:v>
      </x:c>
      <x:c r="T88" s="35" t="str">
        <x:v>「臺灣鄰近航路，利於貿易競爭」是「航海動機」的重點，但不能回答本題的「遷移原因」。請回看：從原鄉、目的地和政策三面向想。</x:v>
      </x:c>
      <x:c r="U88" s="35" t="str">
        <x:v>判斷正確</x:v>
      </x:c>
      <x:c r="V88" s="35" t="str">
        <x:v>忽略利害關係人</x:v>
      </x:c>
      <x:c r="W88" s="35" t="str">
        <x:v>把意見當證據</x:v>
      </x:c>
      <x:c r="X88" s="35" t="str">
        <x:v>位置錯置</x:v>
      </x:c>
      <x:c r="Y88" s="35" t="str">
        <x:v>從原鄉、目的地和政策三面向想。</x:v>
      </x:c>
      <x:c r="Z88" s="35" t="str">
        <x:v>聚焦特定海岸、時間與不同觀點</x:v>
      </x:c>
      <x:c r="AA88" s="35" t="str">
        <x:v>查合法性，不投入無法承受的資金</x:v>
      </x:c>
      <x:c r="AB88" s="35" t="str">
        <x:v>A</x:v>
      </x:c>
      <x:c r="AC88" s="35" t="str">
        <x:v>這是判斷「遷移原因」時要使用的依據。人口移動同時受推力、拉力與制度約束，限制並不等於完全阻止。</x:v>
      </x:c>
      <x:c r="AD88" s="35" t="str">
        <x:v>這是「問題形成」的重點；本題要判斷的是「遷移原因」，兩者不能互相代替。</x:v>
      </x:c>
      <x:c r="AE88" s="35" t="str">
        <x:v>這項知識屬於「理財風險」，無法支持本題的「遷移原因」判斷。</x:v>
      </x:c>
      <x:c r="AF88" s="35" t="str">
        <x:v>分析人口移動時避免只用單一原因。</x:v>
      </x:c>
    </x:row>
    <x:row r="89" ht="76" customHeight="1">
      <x:c r="A89" s="35" t="str">
        <x:v>5B-U1</x:v>
      </x:c>
      <x:c r="B89" s="35" t="str">
        <x:v>五下</x:v>
      </x:c>
      <x:c r="C89" s="35" t="n">
        <x:v>1</x:v>
      </x:c>
      <x:c r="D89" s="35" t="str">
        <x:v>唐山到臺灣</x:v>
      </x:c>
      <x:c r="E89" s="35" t="str">
        <x:v>5B-U1-O4</x:v>
      </x:c>
      <x:c r="F89" s="35" t="n">
        <x:v>10</x:v>
      </x:c>
      <x:c r="G89" s="35" t="str">
        <x:v>情境判斷</x:v>
      </x:c>
      <x:c r="H89" s="35" t="str">
        <x:v>清代出現漳泉、閩粵及漢原衝突。哪個答案最合理？</x:v>
      </x:c>
      <x:c r="I89" s="35" t="str">
        <x:v>分析資源、語言、組織與治理</x:v>
      </x:c>
      <x:c r="J89" s="35" t="str">
        <x:v>只需比較雙方衣服顏色</x:v>
      </x:c>
      <x:c r="K89" s="35" t="str">
        <x:v>所有衝突都由天氣造成</x:v>
      </x:c>
      <x:c r="L89" s="35" t="str">
        <x:v>核對單位、時間、尺度與原始數值</x:v>
      </x:c>
      <x:c r="M89" s="35" t="str">
        <x:v>A</x:v>
      </x:c>
      <x:c r="N89" s="35" t="str">
        <x:v>分析資源、語言、組織與治理</x:v>
      </x:c>
      <x:c r="O89" s="35" t="str">
        <x:v>追問爭什麼資源、規則由誰決定。</x:v>
      </x:c>
      <x:c r="P89" s="35" t="str">
        <x:v>社會衝突常涉及資源、制度和權力，情緒標籤會遮蔽真正的時空脈絡。</x:v>
      </x:c>
      <x:c r="Q89" s="35" t="str">
        <x:v>答對了；「分析資源、語言、組織與治理」同時保留了族群衝突需要的範圍與限制。</x:v>
      </x:c>
      <x:c r="R89" s="35" t="str">
        <x:v>這項判斷忽略重要限制。請想想：追問爭什麼資源、規則由誰決定。</x:v>
      </x:c>
      <x:c r="S89" s="35" t="str">
        <x:v>焦點放錯了。請回看：追問爭什麼資源、規則由誰決定。</x:v>
      </x:c>
      <x:c r="T89" s="35" t="str">
        <x:v>「核對單位、時間、尺度與原始數值」是「圖表判讀」的重點，但不能回答本題的「族群衝突」。請回看：追問爭什麼資源、規則由誰決定。</x:v>
      </x:c>
      <x:c r="U89" s="35" t="str">
        <x:v>判斷正確</x:v>
      </x:c>
      <x:c r="V89" s="35" t="str">
        <x:v>證據不足</x:v>
      </x:c>
      <x:c r="W89" s="35" t="str">
        <x:v>忽略利害關係人</x:v>
      </x:c>
      <x:c r="X89" s="35" t="str">
        <x:v>把意見當證據</x:v>
      </x:c>
      <x:c r="Y89" s="35" t="str">
        <x:v>追問爭什麼資源、規則由誰決定。</x:v>
      </x:c>
      <x:c r="Z89" s="35" t="str">
        <x:v>用共同目標與相同標準調整方案</x:v>
      </x:c>
      <x:c r="AA89" s="35" t="str">
        <x:v>泥沙堆積使船難進出，港口轉移</x:v>
      </x:c>
      <x:c r="AB89" s="35" t="str">
        <x:v>A</x:v>
      </x:c>
      <x:c r="AC89" s="35" t="str">
        <x:v>這是判斷「族群衝突」時要使用的依據。社會衝突常涉及資源、制度和權力，情緒標籤會遮蔽真正的時空脈絡。</x:v>
      </x:c>
      <x:c r="AD89" s="35" t="str">
        <x:v>這是「共識與程序」的重點；本題要判斷的是「族群衝突」，兩者不能互相代替。</x:v>
      </x:c>
      <x:c r="AE89" s="35" t="str">
        <x:v>這項知識屬於「潟湖與港口」，無法支持本題的「族群衝突」判斷。</x:v>
      </x:c>
      <x:c r="AF89" s="35" t="str">
        <x:v>處理校園衝突時，也釐清資源與溝通機制。</x:v>
      </x:c>
    </x:row>
    <x:row r="90" ht="76" customHeight="1">
      <x:c r="A90" s="35" t="str">
        <x:v>5B-U1</x:v>
      </x:c>
      <x:c r="B90" s="35" t="str">
        <x:v>五下</x:v>
      </x:c>
      <x:c r="C90" s="35" t="n">
        <x:v>1</x:v>
      </x:c>
      <x:c r="D90" s="35" t="str">
        <x:v>唐山到臺灣</x:v>
      </x:c>
      <x:c r="E90" s="35" t="str">
        <x:v>5B-U1-O4</x:v>
      </x:c>
      <x:c r="F90" s="35" t="n">
        <x:v>11</x:v>
      </x:c>
      <x:c r="G90" s="35" t="str">
        <x:v>證據判讀</x:v>
      </x:c>
      <x:c r="H90" s="35" t="str">
        <x:v>哪項資料最能支持「分析資源、語言、組織與治理」？</x:v>
      </x:c>
      <x:c r="I90" s="35" t="str">
        <x:v>和題目直接有關的資料</x:v>
      </x:c>
      <x:c r="J90" s="35" t="str">
        <x:v>臺灣是遷徙與交流的中繼點</x:v>
      </x:c>
      <x:c r="K90" s="35" t="str">
        <x:v>選能看見臺灣、鄰國與航線的區域圖</x:v>
      </x:c>
      <x:c r="L90" s="35" t="str">
        <x:v>板塊交界造成多山與地震</x:v>
      </x:c>
      <x:c r="M90" s="35" t="str">
        <x:v>A</x:v>
      </x:c>
      <x:c r="N90" s="35" t="str">
        <x:v>和題目直接有關的資料</x:v>
      </x:c>
      <x:c r="O90" s="35" t="str">
        <x:v>追問爭什麼資源、規則由誰決定。</x:v>
      </x:c>
      <x:c r="P90" s="35" t="str">
        <x:v>這題檢查的是證據能否直接支持「還要分析土地、水源、語言、組織與治理等具體因素」，不是文字長短或票數。社會衝突常涉及資源、制度和權力，情緒標籤會遮蔽真正的時空脈絡。</x:v>
      </x:c>
      <x:c r="Q90" s="35" t="str">
        <x:v>你的判讀可被查證：和題目直接有關的資料。這正是族群衝突要比較的核心。</x:v>
      </x:c>
      <x:c r="R90" s="35" t="str">
        <x:v>「臺灣是遷徙與交流的中繼點」是「位置與交流」的重點，但不能回答本題的「族群衝突」。請回看：追問爭什麼資源、規則由誰決定。</x:v>
      </x:c>
      <x:c r="S90" s="35" t="str">
        <x:v>「選能看見臺灣、鄰國與航線的區域圖」是「地圖尺度」的重點，但不能回答本題的「族群衝突」。請回看：追問爭什麼資源、規則由誰決定。</x:v>
      </x:c>
      <x:c r="T90" s="35" t="str">
        <x:v>「板塊交界造成多山與地震」是「板塊與地形」的重點，但不能回答本題的「族群衝突」。請回看：追問爭什麼資源、規則由誰決定。</x:v>
      </x:c>
      <x:c r="U90" s="35" t="str">
        <x:v>判斷正確</x:v>
      </x:c>
      <x:c r="V90" s="35" t="str">
        <x:v>忽略利害關係人</x:v>
      </x:c>
      <x:c r="W90" s="35" t="str">
        <x:v>把意見當證據</x:v>
      </x:c>
      <x:c r="X90" s="35" t="str">
        <x:v>位置錯置</x:v>
      </x:c>
      <x:c r="Y90" s="35" t="str">
        <x:v>追問爭什麼資源、規則由誰決定。</x:v>
      </x:c>
      <x:c r="Z90" s="35" t="str">
        <x:v>臺灣鄰近航路，利於貿易競爭</x:v>
      </x:c>
      <x:c r="AA90" s="35" t="str">
        <x:v>用共同指標比較各能源的代價</x:v>
      </x:c>
      <x:c r="AB90" s="35" t="str">
        <x:v>A</x:v>
      </x:c>
      <x:c r="AC90" s="35" t="str">
        <x:v>這是判斷「族群衝突」時要使用的依據。社會衝突常涉及資源、制度和權力，情緒標籤會遮蔽真正的時空脈絡。</x:v>
      </x:c>
      <x:c r="AD90" s="35" t="str">
        <x:v>這是「航海動機」的重點；本題要判斷的是「族群衝突」，兩者不能互相代替。</x:v>
      </x:c>
      <x:c r="AE90" s="35" t="str">
        <x:v>這項知識屬於「能源代價」，無法支持本題的「族群衝突」判斷。</x:v>
      </x:c>
      <x:c r="AF90" s="35" t="str">
        <x:v>處理校園衝突時，也釐清資源與溝通機制。</x:v>
      </x:c>
    </x:row>
    <x:row r="91" ht="76" customHeight="1">
      <x:c r="A91" s="35" t="str">
        <x:v>5B-U1</x:v>
      </x:c>
      <x:c r="B91" s="35" t="str">
        <x:v>五下</x:v>
      </x:c>
      <x:c r="C91" s="35" t="n">
        <x:v>1</x:v>
      </x:c>
      <x:c r="D91" s="35" t="str">
        <x:v>唐山到臺灣</x:v>
      </x:c>
      <x:c r="E91" s="35" t="str">
        <x:v>5B-U1-O4</x:v>
      </x:c>
      <x:c r="F91" s="35" t="n">
        <x:v>12</x:v>
      </x:c>
      <x:c r="G91" s="35" t="str">
        <x:v>迷思修正</x:v>
      </x:c>
      <x:c r="H91" s="35" t="str">
        <x:v>有人說：「只需比較雙方衣服顏色」哪個答案能改正這個說法？</x:v>
      </x:c>
      <x:c r="I91" s="35" t="str">
        <x:v>分析資源、語言、組織與治理</x:v>
      </x:c>
      <x:c r="J91" s="35" t="str">
        <x:v>限定結論範圍並說明調查限制</x:v>
      </x:c>
      <x:c r="K91" s="35" t="str">
        <x:v>查紀錄、調方法，再用同指標測量</x:v>
      </x:c>
      <x:c r="L91" s="35" t="str">
        <x:v>通商壓力、物產與航路共同促成開港</x:v>
      </x:c>
      <x:c r="M91" s="35" t="str">
        <x:v>A</x:v>
      </x:c>
      <x:c r="N91" s="35" t="str">
        <x:v>分析資源、語言、組織與治理</x:v>
      </x:c>
      <x:c r="O91" s="35" t="str">
        <x:v>追問爭什麼資源、規則由誰決定。</x:v>
      </x:c>
      <x:c r="P91" s="35" t="str">
        <x:v>迷思「只需比較雙方衣服顏色」的問題，是它沒有處理「清代出現漳泉、閩粵及漢原衝突」提供的關鍵條件。社會衝突常涉及資源、制度和權力，情緒標籤會遮蔽真正的時空脈絡。</x:v>
      </x:c>
      <x:c r="Q91" s="35" t="str">
        <x:v>判斷精準。「分析資源、語言、組織與治理」直接回應族群衝突，推論沒有超過資料。</x:v>
      </x:c>
      <x:c r="R91" s="35" t="str">
        <x:v>「限定結論範圍並說明調查限制」是「結論界線」的重點，但不能回答本題的「族群衝突」。請回看：追問爭什麼資源、規則由誰決定。</x:v>
      </x:c>
      <x:c r="S91" s="35" t="str">
        <x:v>「查紀錄、調方法，再用同指標測量」是「行動省思」的重點，但不能回答本題的「族群衝突」。請回看：追問爭什麼資源、規則由誰決定。</x:v>
      </x:c>
      <x:c r="T91" s="35" t="str">
        <x:v>「通商壓力、物產與航路共同促成開港」是「開港背景」的重點，但不能回答本題的「族群衝突」。請回看：追問爭什麼資源、規則由誰決定。</x:v>
      </x:c>
      <x:c r="U91" s="35" t="str">
        <x:v>判斷正確</x:v>
      </x:c>
      <x:c r="V91" s="35" t="str">
        <x:v>把意見當證據</x:v>
      </x:c>
      <x:c r="W91" s="35" t="str">
        <x:v>位置錯置</x:v>
      </x:c>
      <x:c r="X91" s="35" t="str">
        <x:v>忽略時空脈絡</x:v>
      </x:c>
      <x:c r="Y91" s="35" t="str">
        <x:v>追問爭什麼資源、規則由誰決定。</x:v>
      </x:c>
      <x:c r="Z91" s="35" t="str">
        <x:v>比較具體貢獻、限制與在地回應</x:v>
      </x:c>
      <x:c r="AA91" s="35" t="str">
        <x:v>設基準與措施，四週後同指標比較</x:v>
      </x:c>
      <x:c r="AB91" s="35" t="str">
        <x:v>A</x:v>
      </x:c>
      <x:c r="AC91" s="35" t="str">
        <x:v>這是判斷「族群衝突」時要使用的依據。社會衝突常涉及資源、制度和權力，情緒標籤會遮蔽真正的時空脈絡。</x:v>
      </x:c>
      <x:c r="AD91" s="35" t="str">
        <x:v>這是「人物與交流」的重點；本題要判斷的是「族群衝突」，兩者不能互相代替。</x:v>
      </x:c>
      <x:c r="AE91" s="35" t="str">
        <x:v>這項知識屬於「行動評估」，無法支持本題的「族群衝突」判斷。</x:v>
      </x:c>
      <x:c r="AF91" s="35" t="str">
        <x:v>處理校園衝突時，也釐清資源與溝通機制。</x:v>
      </x:c>
    </x:row>
    <x:row r="92" ht="76" customHeight="1">
      <x:c r="A92" s="35" t="str">
        <x:v>5B-U1</x:v>
      </x:c>
      <x:c r="B92" s="35" t="str">
        <x:v>五下</x:v>
      </x:c>
      <x:c r="C92" s="35" t="n">
        <x:v>1</x:v>
      </x:c>
      <x:c r="D92" s="35" t="str">
        <x:v>唐山到臺灣</x:v>
      </x:c>
      <x:c r="E92" s="35" t="str">
        <x:v>5B-U1-O5</x:v>
      </x:c>
      <x:c r="F92" s="35" t="n">
        <x:v>13</x:v>
      </x:c>
      <x:c r="G92" s="35" t="str">
        <x:v>情境判斷</x:v>
      </x:c>
      <x:c r="H92" s="35" t="str">
        <x:v>港口貿易興起，出現一府二鹿三艋舺，教育建築也逐漸發展。哪個答案最合理？</x:v>
      </x:c>
      <x:c r="I92" s="35" t="str">
        <x:v>港市帶動文化，但各族群影響不同</x:v>
      </x:c>
      <x:c r="J92" s="35" t="str">
        <x:v>三地按山峰高度排名</x:v>
      </x:c>
      <x:c r="K92" s="35" t="str">
        <x:v>港市繁榮後永遠不會轉移</x:v>
      </x:c>
      <x:c r="L92" s="35" t="str">
        <x:v>依能源補充性與環境特性分類</x:v>
      </x:c>
      <x:c r="M92" s="35" t="str">
        <x:v>A</x:v>
      </x:c>
      <x:c r="N92" s="35" t="str">
        <x:v>港市帶動文化，但各族群影響不同</x:v>
      </x:c>
      <x:c r="O92" s="35" t="str">
        <x:v>同時看經濟成長與不同群體經驗。</x:v>
      </x:c>
      <x:c r="P92" s="35" t="str">
        <x:v>港市與制度發展帶來交流和機會，也可能改變族群土地、語言與權力。</x:v>
      </x:c>
      <x:c r="Q92" s="35" t="str">
        <x:v>你的判讀可被查證：港市帶動文化，但各族群影響不同。這正是港市與文化要比較的核心。</x:v>
      </x:c>
      <x:c r="R92" s="35" t="str">
        <x:v>焦點放錯了。請回看：同時看經濟成長與不同群體經驗。</x:v>
      </x:c>
      <x:c r="S92" s="35" t="str">
        <x:v>這項推論缺少證據。請確認：同時看經濟成長與不同群體經驗。</x:v>
      </x:c>
      <x:c r="T92" s="35" t="str">
        <x:v>「依能源補充性與環境特性分類」是「能源分類」的重點，但不能回答本題的「港市與文化」。請回看：同時看經濟成長與不同群體經驗。</x:v>
      </x:c>
      <x:c r="U92" s="35" t="str">
        <x:v>判斷正確</x:v>
      </x:c>
      <x:c r="V92" s="35" t="str">
        <x:v>忽略利害關係人</x:v>
      </x:c>
      <x:c r="W92" s="35" t="str">
        <x:v>把意見當證據</x:v>
      </x:c>
      <x:c r="X92" s="35" t="str">
        <x:v>位置錯置</x:v>
      </x:c>
      <x:c r="Y92" s="35" t="str">
        <x:v>同時看經濟成長與不同群體經驗。</x:v>
      </x:c>
      <x:c r="Z92" s="35" t="str">
        <x:v>分族查資料，再比較文化異同</x:v>
      </x:c>
      <x:c r="AA92" s="35" t="str">
        <x:v>核對單位、時間、尺度與原始數值</x:v>
      </x:c>
      <x:c r="AB92" s="35" t="str">
        <x:v>A</x:v>
      </x:c>
      <x:c r="AC92" s="35" t="str">
        <x:v>這是判斷「港市與文化」時要使用的依據。港市與制度發展帶來交流和機會，也可能改變族群土地、語言與權力。</x:v>
      </x:c>
      <x:c r="AD92" s="35" t="str">
        <x:v>這是「文化多樣性」的重點；本題要判斷的是「港市與文化」，兩者不能互相代替。</x:v>
      </x:c>
      <x:c r="AE92" s="35" t="str">
        <x:v>這項知識屬於「圖表判讀」，無法支持本題的「港市與文化」判斷。</x:v>
      </x:c>
      <x:c r="AF92" s="35" t="str">
        <x:v>地方俗語要放回形成的年代與條件。</x:v>
      </x:c>
    </x:row>
    <x:row r="93" ht="76" customHeight="1">
      <x:c r="A93" s="35" t="str">
        <x:v>5B-U1</x:v>
      </x:c>
      <x:c r="B93" s="35" t="str">
        <x:v>五下</x:v>
      </x:c>
      <x:c r="C93" s="35" t="n">
        <x:v>1</x:v>
      </x:c>
      <x:c r="D93" s="35" t="str">
        <x:v>唐山到臺灣</x:v>
      </x:c>
      <x:c r="E93" s="35" t="str">
        <x:v>5B-U1-O5</x:v>
      </x:c>
      <x:c r="F93" s="35" t="n">
        <x:v>14</x:v>
      </x:c>
      <x:c r="G93" s="35" t="str">
        <x:v>證據判讀</x:v>
      </x:c>
      <x:c r="H93" s="35" t="str">
        <x:v>哪項資料最能支持「港市帶動文化，但各族群影響不同」？</x:v>
      </x:c>
      <x:c r="I93" s="35" t="str">
        <x:v>和題目直接有關的資料</x:v>
      </x:c>
      <x:c r="J93" s="35" t="str">
        <x:v>相關各方應依資料協商文化與保育</x:v>
      </x:c>
      <x:c r="K93" s="35" t="str">
        <x:v>保留植被並依坡度調整耕作</x:v>
      </x:c>
      <x:c r="L93" s="35" t="str">
        <x:v>比較供應、動物、傳染病與廢水管理</x:v>
      </x:c>
      <x:c r="M93" s="35" t="str">
        <x:v>A</x:v>
      </x:c>
      <x:c r="N93" s="35" t="str">
        <x:v>和題目直接有關的資料</x:v>
      </x:c>
      <x:c r="O93" s="35" t="str">
        <x:v>同時看經濟成長與不同群體經驗。</x:v>
      </x:c>
      <x:c r="P93" s="35" t="str">
        <x:v>這題檢查的是證據能否直接支持「交通與商業帶動城市和文化，但不同族群獲得機會與承受影響不一」，不是文字長短或票數。港市與制度發展帶來交流和機會，也可能改變族群土地、語言與權力。</x:v>
      </x:c>
      <x:c r="Q93" s="35" t="str">
        <x:v>判斷精準。「和題目直接有關的資料」直接回應港市與文化，推論沒有超過資料。</x:v>
      </x:c>
      <x:c r="R93" s="35" t="str">
        <x:v>「相關各方應依資料協商文化與保育」是「權利權衡」的重點，但不能回答本題的「港市與文化」。請回看：同時看經濟成長與不同群體經驗。</x:v>
      </x:c>
      <x:c r="S93" s="35" t="str">
        <x:v>「保留植被並依坡度調整耕作」是「永續農業」的重點，但不能回答本題的「港市與文化」。請回看：同時看經濟成長與不同群體經驗。</x:v>
      </x:c>
      <x:c r="T93" s="35" t="str">
        <x:v>「比較供應、動物、傳染病與廢水管理」是「畜牧權衡」的重點，但不能回答本題的「港市與文化」。請回看：同時看經濟成長與不同群體經驗。</x:v>
      </x:c>
      <x:c r="U93" s="35" t="str">
        <x:v>判斷正確</x:v>
      </x:c>
      <x:c r="V93" s="35" t="str">
        <x:v>把意見當證據</x:v>
      </x:c>
      <x:c r="W93" s="35" t="str">
        <x:v>位置錯置</x:v>
      </x:c>
      <x:c r="X93" s="35" t="str">
        <x:v>忽略時空脈絡</x:v>
      </x:c>
      <x:c r="Y93" s="35" t="str">
        <x:v>同時看經濟成長與不同群體經驗。</x:v>
      </x:c>
      <x:c r="Z93" s="35" t="str">
        <x:v>限定結論範圍並說明調查限制</x:v>
      </x:c>
      <x:c r="AA93" s="35" t="str">
        <x:v>比較設置前後的發電、用電與環境</x:v>
      </x:c>
      <x:c r="AB93" s="35" t="str">
        <x:v>A</x:v>
      </x:c>
      <x:c r="AC93" s="35" t="str">
        <x:v>這是判斷「港市與文化」時要使用的依據。港市與制度發展帶來交流和機會，也可能改變族群土地、語言與權力。</x:v>
      </x:c>
      <x:c r="AD93" s="35" t="str">
        <x:v>這是「結論界線」的重點；本題要判斷的是「港市與文化」，兩者不能互相代替。</x:v>
      </x:c>
      <x:c r="AE93" s="35" t="str">
        <x:v>這項知識屬於「能源提問」，無法支持本題的「港市與文化」判斷。</x:v>
      </x:c>
      <x:c r="AF93" s="35" t="str">
        <x:v>地方俗語要放回形成的年代與條件。</x:v>
      </x:c>
    </x:row>
    <x:row r="94" ht="76" customHeight="1">
      <x:c r="A94" s="35" t="str">
        <x:v>5B-U1</x:v>
      </x:c>
      <x:c r="B94" s="35" t="str">
        <x:v>五下</x:v>
      </x:c>
      <x:c r="C94" s="35" t="n">
        <x:v>1</x:v>
      </x:c>
      <x:c r="D94" s="35" t="str">
        <x:v>唐山到臺灣</x:v>
      </x:c>
      <x:c r="E94" s="35" t="str">
        <x:v>5B-U1-O5</x:v>
      </x:c>
      <x:c r="F94" s="35" t="n">
        <x:v>15</x:v>
      </x:c>
      <x:c r="G94" s="35" t="str">
        <x:v>迷思修正</x:v>
      </x:c>
      <x:c r="H94" s="35" t="str">
        <x:v>有人說：「三地按山峰高度排名」哪個答案能改正這個說法？</x:v>
      </x:c>
      <x:c r="I94" s="35" t="str">
        <x:v>港市帶動文化，但各族群影響不同</x:v>
      </x:c>
      <x:c r="J94" s="35" t="str">
        <x:v>依地理條件發展能源並評估影響</x:v>
      </x:c>
      <x:c r="K94" s="35" t="str">
        <x:v>用共同指標比較各能源的代價</x:v>
      </x:c>
      <x:c r="L94" s="35" t="str">
        <x:v>風險分配與居民參與需要公平</x:v>
      </x:c>
      <x:c r="M94" s="35" t="str">
        <x:v>A</x:v>
      </x:c>
      <x:c r="N94" s="35" t="str">
        <x:v>港市帶動文化，但各族群影響不同</x:v>
      </x:c>
      <x:c r="O94" s="35" t="str">
        <x:v>同時看經濟成長與不同群體經驗。</x:v>
      </x:c>
      <x:c r="P94" s="35" t="str">
        <x:v>迷思「三地按山峰高度排名」的問題，是它沒有處理「港口貿易興起，出現一府二鹿三艋舺，教育建築也逐漸發展」提供的關鍵條件。港市與制度發展帶來交流和機會，也可能改變族群土地、語言與權力。</x:v>
      </x:c>
      <x:c r="Q94" s="35" t="str">
        <x:v>這項選擇成立：港市帶動文化，但各族群影響不同。它抓住港市與文化的關鍵條件。</x:v>
      </x:c>
      <x:c r="R94" s="35" t="str">
        <x:v>「依地理條件發展能源並評估影響」是「地理配對」的重點，但不能回答本題的「港市與文化」。請回看：同時看經濟成長與不同群體經驗。</x:v>
      </x:c>
      <x:c r="S94" s="35" t="str">
        <x:v>「用共同指標比較各能源的代價」是「能源代價」的重點，但不能回答本題的「港市與文化」。請回看：同時看經濟成長與不同群體經驗。</x:v>
      </x:c>
      <x:c r="T94" s="35" t="str">
        <x:v>「風險分配與居民參與需要公平」是「環境正義」的重點，但不能回答本題的「港市與文化」。請回看：同時看經濟成長與不同群體經驗。</x:v>
      </x:c>
      <x:c r="U94" s="35" t="str">
        <x:v>判斷正確</x:v>
      </x:c>
      <x:c r="V94" s="35" t="str">
        <x:v>位置錯置</x:v>
      </x:c>
      <x:c r="W94" s="35" t="str">
        <x:v>忽略時空脈絡</x:v>
      </x:c>
      <x:c r="X94" s="35" t="str">
        <x:v>過度概括</x:v>
      </x:c>
      <x:c r="Y94" s="35" t="str">
        <x:v>同時看經濟成長與不同群體經驗。</x:v>
      </x:c>
      <x:c r="Z94" s="35" t="str">
        <x:v>依能源補充性與環境特性分類</x:v>
      </x:c>
      <x:c r="AA94" s="35" t="str">
        <x:v>環境、季節與歷史共同影響生活</x:v>
      </x:c>
      <x:c r="AB94" s="35" t="str">
        <x:v>A</x:v>
      </x:c>
      <x:c r="AC94" s="35" t="str">
        <x:v>這是判斷「港市與文化」時要使用的依據。港市與制度發展帶來交流和機會，也可能改變族群土地、語言與權力。</x:v>
      </x:c>
      <x:c r="AD94" s="35" t="str">
        <x:v>這是「能源分類」的重點；本題要判斷的是「港市與文化」，兩者不能互相代替。</x:v>
      </x:c>
      <x:c r="AE94" s="35" t="str">
        <x:v>這項知識屬於「環境與生活」，無法支持本題的「港市與文化」判斷。</x:v>
      </x:c>
      <x:c r="AF94" s="35" t="str">
        <x:v>地方俗語要放回形成的年代與條件。</x:v>
      </x:c>
    </x:row>
    <x:row r="95" ht="76" customHeight="1">
      <x:c r="A95" s="34" t="str">
        <x:v>5B-U2</x:v>
      </x:c>
      <x:c r="B95" s="34" t="str">
        <x:v>五下</x:v>
      </x:c>
      <x:c r="C95" s="34" t="n">
        <x:v>2</x:v>
      </x:c>
      <x:c r="D95" s="34" t="str">
        <x:v>開港通商後的臺灣</x:v>
      </x:c>
      <x:c r="E95" s="34" t="str">
        <x:v>5B-U2-O1</x:v>
      </x:c>
      <x:c r="F95" s="34" t="n">
        <x:v>1</x:v>
      </x:c>
      <x:c r="G95" s="34" t="str">
        <x:v>情境判斷</x:v>
      </x:c>
      <x:c r="H95" s="34" t="str">
        <x:v>1860年代臺灣再度開港，蒸汽航運與國際貿易擴張。哪個答案最合理？</x:v>
      </x:c>
      <x:c r="I95" s="34" t="str">
        <x:v>通商壓力、物產與航路共同促成開港</x:v>
      </x:c>
      <x:c r="J95" s="34" t="str">
        <x:v>只因蒸汽船外觀漂亮</x:v>
      </x:c>
      <x:c r="K95" s="34" t="str">
        <x:v>因臺灣主動停止所有貿易</x:v>
      </x:c>
      <x:c r="L95" s="34" t="str">
        <x:v>設禁漁期、尺寸限制並協助轉型</x:v>
      </x:c>
      <x:c r="M95" s="34" t="str">
        <x:v>A</x:v>
      </x:c>
      <x:c r="N95" s="34" t="str">
        <x:v>通商壓力、物產與航路共同促成開港</x:v>
      </x:c>
      <x:c r="O95" s="34" t="str">
        <x:v>從外部壓力、商品和位置三面向想。</x:v>
      </x:c>
      <x:c r="P95" s="34" t="str">
        <x:v>開港牽涉國際政治、商品需求與交通位置，不能用單一技術或錯誤物產解釋。</x:v>
      </x:c>
      <x:c r="Q95" s="34" t="str">
        <x:v>判斷精準。「通商壓力、物產與航路共同促成開港」直接回應開港背景，推論沒有超過資料。</x:v>
      </x:c>
      <x:c r="R95" s="34" t="str">
        <x:v>這項推論缺少證據。請確認：從外部壓力、商品和位置三面向想。</x:v>
      </x:c>
      <x:c r="S95" s="34" t="str">
        <x:v>選項和題意關係較弱。提示：從外部壓力、商品和位置三面向想。</x:v>
      </x:c>
      <x:c r="T95" s="34" t="str">
        <x:v>「設禁漁期、尺寸限制並協助轉型」是「永續漁業」的重點，但不能回答本題的「開港背景」。請回看：從外部壓力、商品和位置三面向想。</x:v>
      </x:c>
      <x:c r="U95" s="34" t="str">
        <x:v>判斷正確</x:v>
      </x:c>
      <x:c r="V95" s="34" t="str">
        <x:v>忽略時空脈絡</x:v>
      </x:c>
      <x:c r="W95" s="34" t="str">
        <x:v>過度概括</x:v>
      </x:c>
      <x:c r="X95" s="34" t="str">
        <x:v>單因推論</x:v>
      </x:c>
      <x:c r="Y95" s="34" t="str">
        <x:v>從外部壓力、商品和位置三面向想。</x:v>
      </x:c>
      <x:c r="Z95" s="34" t="str">
        <x:v>停止交易並改用官方查證與付款</x:v>
      </x:c>
      <x:c r="AA95" s="34" t="str">
        <x:v>規範與法律的形成及強制力不同</x:v>
      </x:c>
      <x:c r="AB95" s="34" t="str">
        <x:v>A</x:v>
      </x:c>
      <x:c r="AC95" s="34" t="str">
        <x:v>這是判斷「開港背景」時要使用的依據。開港牽涉國際政治、商品需求與交通位置，不能用單一技術或錯誤物產解釋。</x:v>
      </x:c>
      <x:c r="AD95" s="34" t="str">
        <x:v>這是「消費安全」的重點；本題要判斷的是「開港背景」，兩者不能互相代替。</x:v>
      </x:c>
      <x:c r="AE95" s="34" t="str">
        <x:v>這項知識屬於「規範與法律」，無法支持本題的「開港背景」判斷。</x:v>
      </x:c>
      <x:c r="AF95" s="34" t="str">
        <x:v>分析市場開放時區分外力與地方條件。</x:v>
      </x:c>
    </x:row>
    <x:row r="96" ht="76" customHeight="1">
      <x:c r="A96" s="34" t="str">
        <x:v>5B-U2</x:v>
      </x:c>
      <x:c r="B96" s="34" t="str">
        <x:v>五下</x:v>
      </x:c>
      <x:c r="C96" s="34" t="n">
        <x:v>2</x:v>
      </x:c>
      <x:c r="D96" s="34" t="str">
        <x:v>開港通商後的臺灣</x:v>
      </x:c>
      <x:c r="E96" s="34" t="str">
        <x:v>5B-U2-O1</x:v>
      </x:c>
      <x:c r="F96" s="34" t="n">
        <x:v>2</x:v>
      </x:c>
      <x:c r="G96" s="34" t="str">
        <x:v>證據判讀</x:v>
      </x:c>
      <x:c r="H96" s="34" t="str">
        <x:v>哪項資料最能支持「通商壓力、物產與航路共同促成開港」？</x:v>
      </x:c>
      <x:c r="I96" s="34" t="str">
        <x:v>和題目直接有關的資料</x:v>
      </x:c>
      <x:c r="J96" s="34" t="str">
        <x:v>停止交易並改用官方查證與付款</x:v>
      </x:c>
      <x:c r="K96" s="34" t="str">
        <x:v>保存證據，再循正式管道申訴</x:v>
      </x:c>
      <x:c r="L96" s="34" t="str">
        <x:v>查合法性，不投入無法承受的資金</x:v>
      </x:c>
      <x:c r="M96" s="34" t="str">
        <x:v>A</x:v>
      </x:c>
      <x:c r="N96" s="34" t="str">
        <x:v>和題目直接有關的資料</x:v>
      </x:c>
      <x:c r="O96" s="34" t="str">
        <x:v>從外部壓力、商品和位置三面向想。</x:v>
      </x:c>
      <x:c r="P96" s="34" t="str">
        <x:v>這題檢查的是證據能否直接支持「外國通商壓力、臺灣物產和東亞航路位置共同作用」，不是文字長短或票數。開港牽涉國際政治、商品需求與交通位置，不能用單一技術或錯誤物產解釋。</x:v>
      </x:c>
      <x:c r="Q96" s="34" t="str">
        <x:v>這項選擇成立：和題目直接有關的資料。它抓住開港背景的關鍵條件。</x:v>
      </x:c>
      <x:c r="R96" s="34" t="str">
        <x:v>「停止交易並改用官方查證與付款」是「消費安全」的重點，但不能回答本題的「開港背景」。請回看：從外部壓力、商品和位置三面向想。</x:v>
      </x:c>
      <x:c r="S96" s="34" t="str">
        <x:v>「保存證據，再循正式管道申訴」是「消費權益」的重點，但不能回答本題的「開港背景」。請回看：從外部壓力、商品和位置三面向想。</x:v>
      </x:c>
      <x:c r="T96" s="34" t="str">
        <x:v>「查合法性，不投入無法承受的資金」是「理財風險」的重點，但不能回答本題的「開港背景」。請回看：從外部壓力、商品和位置三面向想。</x:v>
      </x:c>
      <x:c r="U96" s="34" t="str">
        <x:v>判斷正確</x:v>
      </x:c>
      <x:c r="V96" s="34" t="str">
        <x:v>過度概括</x:v>
      </x:c>
      <x:c r="W96" s="34" t="str">
        <x:v>單因推論</x:v>
      </x:c>
      <x:c r="X96" s="34" t="str">
        <x:v>證據不足</x:v>
      </x:c>
      <x:c r="Y96" s="34" t="str">
        <x:v>從外部壓力、商品和位置三面向想。</x:v>
      </x:c>
      <x:c r="Z96" s="34" t="str">
        <x:v>分族查資料，再比較文化異同</x:v>
      </x:c>
      <x:c r="AA96" s="34" t="str">
        <x:v>核對單位、時間、尺度與原始數值</x:v>
      </x:c>
      <x:c r="AB96" s="34" t="str">
        <x:v>A</x:v>
      </x:c>
      <x:c r="AC96" s="34" t="str">
        <x:v>這是判斷「開港背景」時要使用的依據。開港牽涉國際政治、商品需求與交通位置，不能用單一技術或錯誤物產解釋。</x:v>
      </x:c>
      <x:c r="AD96" s="34" t="str">
        <x:v>這是「文化多樣性」的重點；本題要判斷的是「開港背景」，兩者不能互相代替。</x:v>
      </x:c>
      <x:c r="AE96" s="34" t="str">
        <x:v>這項知識屬於「圖表判讀」，無法支持本題的「開港背景」判斷。</x:v>
      </x:c>
      <x:c r="AF96" s="34" t="str">
        <x:v>分析市場開放時區分外力與地方條件。</x:v>
      </x:c>
    </x:row>
    <x:row r="97" ht="76" customHeight="1">
      <x:c r="A97" s="34" t="str">
        <x:v>5B-U2</x:v>
      </x:c>
      <x:c r="B97" s="34" t="str">
        <x:v>五下</x:v>
      </x:c>
      <x:c r="C97" s="34" t="n">
        <x:v>2</x:v>
      </x:c>
      <x:c r="D97" s="34" t="str">
        <x:v>開港通商後的臺灣</x:v>
      </x:c>
      <x:c r="E97" s="34" t="str">
        <x:v>5B-U2-O1</x:v>
      </x:c>
      <x:c r="F97" s="34" t="n">
        <x:v>3</x:v>
      </x:c>
      <x:c r="G97" s="34" t="str">
        <x:v>迷思修正</x:v>
      </x:c>
      <x:c r="H97" s="34" t="str">
        <x:v>有人說：「只因蒸汽船外觀漂亮」哪個答案能改正這個說法？</x:v>
      </x:c>
      <x:c r="I97" s="34" t="str">
        <x:v>通商壓力、物產與航路共同促成開港</x:v>
      </x:c>
      <x:c r="J97" s="34" t="str">
        <x:v>查明進口木材是否來自永續來源</x:v>
      </x:c>
      <x:c r="K97" s="34" t="str">
        <x:v>長期追蹤保存、參與、就業與環境</x:v>
      </x:c>
      <x:c r="L97" s="34" t="str">
        <x:v>泥沙堆積使船難進出，港口轉移</x:v>
      </x:c>
      <x:c r="M97" s="34" t="str">
        <x:v>A</x:v>
      </x:c>
      <x:c r="N97" s="34" t="str">
        <x:v>通商壓力、物產與航路共同促成開港</x:v>
      </x:c>
      <x:c r="O97" s="34" t="str">
        <x:v>從外部壓力、商品和位置三面向想。</x:v>
      </x:c>
      <x:c r="P97" s="34" t="str">
        <x:v>迷思「只因蒸汽船外觀漂亮」的問題，是它沒有處理「1860年代臺灣再度開港，蒸汽航運與國際貿易擴張」提供的關鍵條件。開港牽涉國際政治、商品需求與交通位置，不能用單一技術或錯誤物產解釋。</x:v>
      </x:c>
      <x:c r="Q97" s="34" t="str">
        <x:v>證據吻合。選項「通商壓力、物產與航路共同促成開港」能把開港背景的線索合理連起來。</x:v>
      </x:c>
      <x:c r="R97" s="34" t="str">
        <x:v>「查明進口木材是否來自永續來源」是「森林供應鏈」的重點，但不能回答本題的「開港背景」。請回看：從外部壓力、商品和位置三面向想。</x:v>
      </x:c>
      <x:c r="S97" s="34" t="str">
        <x:v>「長期追蹤保存、參與、就業與環境」是「地方轉型」的重點，但不能回答本題的「開港背景」。請回看：從外部壓力、商品和位置三面向想。</x:v>
      </x:c>
      <x:c r="T97" s="34" t="str">
        <x:v>「泥沙堆積使船難進出，港口轉移」是「潟湖與港口」的重點，但不能回答本題的「開港背景」。請回看：從外部壓力、商品和位置三面向想。</x:v>
      </x:c>
      <x:c r="U97" s="34" t="str">
        <x:v>判斷正確</x:v>
      </x:c>
      <x:c r="V97" s="34" t="str">
        <x:v>單因推論</x:v>
      </x:c>
      <x:c r="W97" s="34" t="str">
        <x:v>證據不足</x:v>
      </x:c>
      <x:c r="X97" s="34" t="str">
        <x:v>忽略利害關係人</x:v>
      </x:c>
      <x:c r="Y97" s="34" t="str">
        <x:v>從外部壓力、商品和位置三面向想。</x:v>
      </x:c>
      <x:c r="Z97" s="34" t="str">
        <x:v>貿易增加，也改變土地與族群關係</x:v>
      </x:c>
      <x:c r="AA97" s="34" t="str">
        <x:v>保存證據，再循正式管道申訴</x:v>
      </x:c>
      <x:c r="AB97" s="34" t="str">
        <x:v>A</x:v>
      </x:c>
      <x:c r="AC97" s="34" t="str">
        <x:v>這是判斷「開港背景」時要使用的依據。開港牽涉國際政治、商品需求與交通位置，不能用單一技術或錯誤物產解釋。</x:v>
      </x:c>
      <x:c r="AD97" s="34" t="str">
        <x:v>這是「貿易影響」的重點；本題要判斷的是「開港背景」，兩者不能互相代替。</x:v>
      </x:c>
      <x:c r="AE97" s="34" t="str">
        <x:v>這項知識屬於「消費權益」，無法支持本題的「開港背景」判斷。</x:v>
      </x:c>
      <x:c r="AF97" s="34" t="str">
        <x:v>分析市場開放時區分外力與地方條件。</x:v>
      </x:c>
    </x:row>
    <x:row r="98" ht="76" customHeight="1">
      <x:c r="A98" s="34" t="str">
        <x:v>5B-U2</x:v>
      </x:c>
      <x:c r="B98" s="34" t="str">
        <x:v>五下</x:v>
      </x:c>
      <x:c r="C98" s="34" t="n">
        <x:v>2</x:v>
      </x:c>
      <x:c r="D98" s="34" t="str">
        <x:v>開港通商後的臺灣</x:v>
      </x:c>
      <x:c r="E98" s="34" t="str">
        <x:v>5B-U2-O2</x:v>
      </x:c>
      <x:c r="F98" s="34" t="n">
        <x:v>4</x:v>
      </x:c>
      <x:c r="G98" s="34" t="str">
        <x:v>情境判斷</x:v>
      </x:c>
      <x:c r="H98" s="34" t="str">
        <x:v>茶與樟腦出口增加，淡水港、大稻埕等地發展。哪個答案最合理？</x:v>
      </x:c>
      <x:c r="I98" s="34" t="str">
        <x:v>商品與港口帶動北部市鎮發展</x:v>
      </x:c>
      <x:c r="J98" s="34" t="str">
        <x:v>南部人口在同一天全部遷走</x:v>
      </x:c>
      <x:c r="K98" s="34" t="str">
        <x:v>北部土地突然變得最大</x:v>
      </x:c>
      <x:c r="L98" s="34" t="str">
        <x:v>結合檔案、觀察與多方訪談</x:v>
      </x:c>
      <x:c r="M98" s="34" t="str">
        <x:v>A</x:v>
      </x:c>
      <x:c r="N98" s="34" t="str">
        <x:v>商品與港口帶動北部市鎮發展</x:v>
      </x:c>
      <x:c r="O98" s="34" t="str">
        <x:v>連結商品、產地、港口和市鎮。</x:v>
      </x:c>
      <x:c r="P98" s="34" t="str">
        <x:v>商品產地、運輸出口與城市成長形成因果鏈；重心轉移是逐步過程。</x:v>
      </x:c>
      <x:c r="Q98" s="34" t="str">
        <x:v>這項選擇成立：商品與港口帶動北部市鎮發展。它抓住經濟北移的關鍵條件。</x:v>
      </x:c>
      <x:c r="R98" s="34" t="str">
        <x:v>選項和題意關係較弱。提示：連結商品、產地、港口和市鎮。</x:v>
      </x:c>
      <x:c r="S98" s="34" t="str">
        <x:v>這裡混淆了條件與結論。提示：連結商品、產地、港口和市鎮。</x:v>
      </x:c>
      <x:c r="T98" s="34" t="str">
        <x:v>「結合檔案、觀察與多方訪談」是「多元資料」的重點，但不能回答本題的「經濟北移」。請回看：連結商品、產地、港口和市鎮。</x:v>
      </x:c>
      <x:c r="U98" s="34" t="str">
        <x:v>判斷正確</x:v>
      </x:c>
      <x:c r="V98" s="34" t="str">
        <x:v>過度概括</x:v>
      </x:c>
      <x:c r="W98" s="34" t="str">
        <x:v>單因推論</x:v>
      </x:c>
      <x:c r="X98" s="34" t="str">
        <x:v>證據不足</x:v>
      </x:c>
      <x:c r="Y98" s="34" t="str">
        <x:v>連結商品、產地、港口和市鎮。</x:v>
      </x:c>
      <x:c r="Z98" s="34" t="str">
        <x:v>比較對象、程度、證據與改善方法</x:v>
      </x:c>
      <x:c r="AA98" s="34" t="str">
        <x:v>長期追蹤保存、參與、就業與環境</x:v>
      </x:c>
      <x:c r="AB98" s="34" t="str">
        <x:v>A</x:v>
      </x:c>
      <x:c r="AC98" s="34" t="str">
        <x:v>這是判斷「經濟北移」時要使用的依據。商品產地、運輸出口與城市成長形成因果鏈；重心轉移是逐步過程。</x:v>
      </x:c>
      <x:c r="AD98" s="34" t="str">
        <x:v>這是「分析權衡」的重點；本題要判斷的是「經濟北移」，兩者不能互相代替。</x:v>
      </x:c>
      <x:c r="AE98" s="34" t="str">
        <x:v>這項知識屬於「地方轉型」，無法支持本題的「經濟北移」判斷。</x:v>
      </x:c>
      <x:c r="AF98" s="34" t="str">
        <x:v>解釋商圈興起時，也找主要產業與交通。</x:v>
      </x:c>
    </x:row>
    <x:row r="99" ht="76" customHeight="1">
      <x:c r="A99" s="34" t="str">
        <x:v>5B-U2</x:v>
      </x:c>
      <x:c r="B99" s="34" t="str">
        <x:v>五下</x:v>
      </x:c>
      <x:c r="C99" s="34" t="n">
        <x:v>2</x:v>
      </x:c>
      <x:c r="D99" s="34" t="str">
        <x:v>開港通商後的臺灣</x:v>
      </x:c>
      <x:c r="E99" s="34" t="str">
        <x:v>5B-U2-O2</x:v>
      </x:c>
      <x:c r="F99" s="34" t="n">
        <x:v>5</x:v>
      </x:c>
      <x:c r="G99" s="34" t="str">
        <x:v>證據判讀</x:v>
      </x:c>
      <x:c r="H99" s="34" t="str">
        <x:v>哪項資料最能支持「商品與港口帶動北部市鎮發展」？</x:v>
      </x:c>
      <x:c r="I99" s="34" t="str">
        <x:v>和題目直接有關的資料</x:v>
      </x:c>
      <x:c r="J99" s="34" t="str">
        <x:v>設基準與措施，四週後同指標比較</x:v>
      </x:c>
      <x:c r="K99" s="34" t="str">
        <x:v>臺灣是遷徙與交流的中繼點</x:v>
      </x:c>
      <x:c r="L99" s="34" t="str">
        <x:v>選能看見臺灣、鄰國與航線的區域圖</x:v>
      </x:c>
      <x:c r="M99" s="34" t="str">
        <x:v>A</x:v>
      </x:c>
      <x:c r="N99" s="34" t="str">
        <x:v>和題目直接有關的資料</x:v>
      </x:c>
      <x:c r="O99" s="34" t="str">
        <x:v>連結商品、產地、港口和市鎮。</x:v>
      </x:c>
      <x:c r="P99" s="34" t="str">
        <x:v>這題檢查的是證據能否直接支持「產地與港口連結帶動北部新市鎮，使經濟重心逐漸北移」，不是文字長短或票數。商品產地、運輸出口與城市成長形成因果鏈；重心轉移是逐步過程。</x:v>
      </x:c>
      <x:c r="Q99" s="34" t="str">
        <x:v>證據吻合。選項「和題目直接有關的資料」能把經濟北移的線索合理連起來。</x:v>
      </x:c>
      <x:c r="R99" s="34" t="str">
        <x:v>「設基準與措施，四週後同指標比較」是「行動評估」的重點，但不能回答本題的「經濟北移」。請回看：連結商品、產地、港口和市鎮。</x:v>
      </x:c>
      <x:c r="S99" s="34" t="str">
        <x:v>「臺灣是遷徙與交流的中繼點」是「位置與交流」的重點，但不能回答本題的「經濟北移」。請回看：連結商品、產地、港口和市鎮。</x:v>
      </x:c>
      <x:c r="T99" s="34" t="str">
        <x:v>「選能看見臺灣、鄰國與航線的區域圖」是「地圖尺度」的重點，但不能回答本題的「經濟北移」。請回看：連結商品、產地、港口和市鎮。</x:v>
      </x:c>
      <x:c r="U99" s="34" t="str">
        <x:v>判斷正確</x:v>
      </x:c>
      <x:c r="V99" s="34" t="str">
        <x:v>單因推論</x:v>
      </x:c>
      <x:c r="W99" s="34" t="str">
        <x:v>證據不足</x:v>
      </x:c>
      <x:c r="X99" s="34" t="str">
        <x:v>忽略利害關係人</x:v>
      </x:c>
      <x:c r="Y99" s="34" t="str">
        <x:v>連結商品、產地、港口和市鎮。</x:v>
      </x:c>
      <x:c r="Z99" s="34" t="str">
        <x:v>長期追蹤保存、參與、就業與環境</x:v>
      </x:c>
      <x:c r="AA99" s="34" t="str">
        <x:v>依能源補充性與環境特性分類</x:v>
      </x:c>
      <x:c r="AB99" s="34" t="str">
        <x:v>A</x:v>
      </x:c>
      <x:c r="AC99" s="34" t="str">
        <x:v>這是判斷「經濟北移」時要使用的依據。商品產地、運輸出口與城市成長形成因果鏈；重心轉移是逐步過程。</x:v>
      </x:c>
      <x:c r="AD99" s="34" t="str">
        <x:v>這是「地方轉型」的重點；本題要判斷的是「經濟北移」，兩者不能互相代替。</x:v>
      </x:c>
      <x:c r="AE99" s="34" t="str">
        <x:v>這項知識屬於「能源分類」，無法支持本題的「經濟北移」判斷。</x:v>
      </x:c>
      <x:c r="AF99" s="34" t="str">
        <x:v>解釋商圈興起時，也找主要產業與交通。</x:v>
      </x:c>
    </x:row>
    <x:row r="100" ht="76" customHeight="1">
      <x:c r="A100" s="34" t="str">
        <x:v>5B-U2</x:v>
      </x:c>
      <x:c r="B100" s="34" t="str">
        <x:v>五下</x:v>
      </x:c>
      <x:c r="C100" s="34" t="n">
        <x:v>2</x:v>
      </x:c>
      <x:c r="D100" s="34" t="str">
        <x:v>開港通商後的臺灣</x:v>
      </x:c>
      <x:c r="E100" s="34" t="str">
        <x:v>5B-U2-O2</x:v>
      </x:c>
      <x:c r="F100" s="34" t="n">
        <x:v>6</x:v>
      </x:c>
      <x:c r="G100" s="34" t="str">
        <x:v>迷思修正</x:v>
      </x:c>
      <x:c r="H100" s="34" t="str">
        <x:v>有人說：「南部人口在同一天全部遷走」哪個答案能改正這個說法？</x:v>
      </x:c>
      <x:c r="I100" s="34" t="str">
        <x:v>商品與港口帶動北部市鎮發展</x:v>
      </x:c>
      <x:c r="J100" s="34" t="str">
        <x:v>核對單位、時間、尺度與原始數值</x:v>
      </x:c>
      <x:c r="K100" s="34" t="str">
        <x:v>限定結論範圍並說明調查限制</x:v>
      </x:c>
      <x:c r="L100" s="34" t="str">
        <x:v>查紀錄、調方法，再用同指標測量</x:v>
      </x:c>
      <x:c r="M100" s="34" t="str">
        <x:v>A</x:v>
      </x:c>
      <x:c r="N100" s="34" t="str">
        <x:v>商品與港口帶動北部市鎮發展</x:v>
      </x:c>
      <x:c r="O100" s="34" t="str">
        <x:v>連結商品、產地、港口和市鎮。</x:v>
      </x:c>
      <x:c r="P100" s="34" t="str">
        <x:v>迷思「南部人口在同一天全部遷走」的問題，是它沒有處理「茶與樟腦出口增加，淡水港、大稻埕等地發展」提供的關鍵條件。商品產地、運輸出口與城市成長形成因果鏈；重心轉移是逐步過程。</x:v>
      </x:c>
      <x:c r="Q100" s="34" t="str">
        <x:v>答對了；「商品與港口帶動北部市鎮發展」同時保留了經濟北移需要的範圍與限制。</x:v>
      </x:c>
      <x:c r="R100" s="34" t="str">
        <x:v>「核對單位、時間、尺度與原始數值」是「圖表判讀」的重點，但不能回答本題的「經濟北移」。請回看：連結商品、產地、港口和市鎮。</x:v>
      </x:c>
      <x:c r="S100" s="34" t="str">
        <x:v>「限定結論範圍並說明調查限制」是「結論界線」的重點，但不能回答本題的「經濟北移」。請回看：連結商品、產地、港口和市鎮。</x:v>
      </x:c>
      <x:c r="T100" s="34" t="str">
        <x:v>「查紀錄、調方法，再用同指標測量」是「行動省思」的重點，但不能回答本題的「經濟北移」。請回看：連結商品、產地、港口和市鎮。</x:v>
      </x:c>
      <x:c r="U100" s="34" t="str">
        <x:v>判斷正確</x:v>
      </x:c>
      <x:c r="V100" s="34" t="str">
        <x:v>證據不足</x:v>
      </x:c>
      <x:c r="W100" s="34" t="str">
        <x:v>忽略利害關係人</x:v>
      </x:c>
      <x:c r="X100" s="34" t="str">
        <x:v>把意見當證據</x:v>
      </x:c>
      <x:c r="Y100" s="34" t="str">
        <x:v>連結商品、產地、港口和市鎮。</x:v>
      </x:c>
      <x:c r="Z100" s="34" t="str">
        <x:v>合作修水圳，訂分水與維修規則</x:v>
      </x:c>
      <x:c r="AA100" s="34" t="str">
        <x:v>用共同目標與相同標準調整方案</x:v>
      </x:c>
      <x:c r="AB100" s="34" t="str">
        <x:v>A</x:v>
      </x:c>
      <x:c r="AC100" s="34" t="str">
        <x:v>這是判斷「經濟北移」時要使用的依據。商品產地、運輸出口與城市成長形成因果鏈；重心轉移是逐步過程。</x:v>
      </x:c>
      <x:c r="AD100" s="34" t="str">
        <x:v>這是「水利開墾」的重點；本題要判斷的是「經濟北移」，兩者不能互相代替。</x:v>
      </x:c>
      <x:c r="AE100" s="34" t="str">
        <x:v>這項知識屬於「共識與程序」，無法支持本題的「經濟北移」判斷。</x:v>
      </x:c>
      <x:c r="AF100" s="34" t="str">
        <x:v>解釋商圈興起時，也找主要產業與交通。</x:v>
      </x:c>
    </x:row>
    <x:row r="101" ht="76" customHeight="1">
      <x:c r="A101" s="34" t="str">
        <x:v>5B-U2</x:v>
      </x:c>
      <x:c r="B101" s="34" t="str">
        <x:v>五下</x:v>
      </x:c>
      <x:c r="C101" s="34" t="n">
        <x:v>2</x:v>
      </x:c>
      <x:c r="D101" s="34" t="str">
        <x:v>開港通商後的臺灣</x:v>
      </x:c>
      <x:c r="E101" s="34" t="str">
        <x:v>5B-U2-O3</x:v>
      </x:c>
      <x:c r="F101" s="34" t="n">
        <x:v>7</x:v>
      </x:c>
      <x:c r="G101" s="34" t="str">
        <x:v>情境判斷</x:v>
      </x:c>
      <x:c r="H101" s="34" t="str">
        <x:v>馬偕、巴克禮、斯文豪等外國人士在臺活動。哪個答案最合理？</x:v>
      </x:c>
      <x:c r="I101" s="34" t="str">
        <x:v>比較具體貢獻、限制與在地回應</x:v>
      </x:c>
      <x:c r="J101" s="34" t="str">
        <x:v>把三人都寫成茶葉商人</x:v>
      </x:c>
      <x:c r="K101" s="34" t="str">
        <x:v>只歌頌貢獻而不查受影響者</x:v>
      </x:c>
      <x:c r="L101" s="34" t="str">
        <x:v>電力帶來便利，也增加供電依賴</x:v>
      </x:c>
      <x:c r="M101" s="34" t="str">
        <x:v>A</x:v>
      </x:c>
      <x:c r="N101" s="34" t="str">
        <x:v>比較具體貢獻、限制與在地回應</x:v>
      </x:c>
      <x:c r="O101" s="34" t="str">
        <x:v>先辨身分與行動，再談影響。</x:v>
      </x:c>
      <x:c r="P101" s="34" t="str">
        <x:v>人物行動各異，歷史評估既要看具體貢獻，也不能忽略目的、限制和在地回應。</x:v>
      </x:c>
      <x:c r="Q101" s="34" t="str">
        <x:v>證據吻合。選項「比較具體貢獻、限制與在地回應」能把人物與交流的線索合理連起來。</x:v>
      </x:c>
      <x:c r="R101" s="34" t="str">
        <x:v>這裡混淆了條件與結論。提示：先辨身分與行動，再談影響。</x:v>
      </x:c>
      <x:c r="S101" s="34" t="str">
        <x:v>這項判斷忽略重要限制。請想想：先辨身分與行動，再談影響。</x:v>
      </x:c>
      <x:c r="T101" s="34" t="str">
        <x:v>「電力帶來便利，也增加供電依賴」是「電力與生活」的重點，但不能回答本題的「人物與交流」。請回看：先辨身分與行動，再談影響。</x:v>
      </x:c>
      <x:c r="U101" s="34" t="str">
        <x:v>判斷正確</x:v>
      </x:c>
      <x:c r="V101" s="34" t="str">
        <x:v>單因推論</x:v>
      </x:c>
      <x:c r="W101" s="34" t="str">
        <x:v>證據不足</x:v>
      </x:c>
      <x:c r="X101" s="34" t="str">
        <x:v>忽略利害關係人</x:v>
      </x:c>
      <x:c r="Y101" s="34" t="str">
        <x:v>先辨身分與行動，再談影響。</x:v>
      </x:c>
      <x:c r="Z101" s="34" t="str">
        <x:v>遺物顯示可能已有農耕定居生活</x:v>
      </x:c>
      <x:c r="AA101" s="34" t="str">
        <x:v>結合檔案、觀察與多方訪談</x:v>
      </x:c>
      <x:c r="AB101" s="34" t="str">
        <x:v>A</x:v>
      </x:c>
      <x:c r="AC101" s="34" t="str">
        <x:v>這是判斷「人物與交流」時要使用的依據。人物行動各異，歷史評估既要看具體貢獻，也不能忽略目的、限制和在地回應。</x:v>
      </x:c>
      <x:c r="AD101" s="34" t="str">
        <x:v>這是「史前證據」的重點；本題要判斷的是「人物與交流」，兩者不能互相代替。</x:v>
      </x:c>
      <x:c r="AE101" s="34" t="str">
        <x:v>這項知識屬於「多元資料」，無法支持本題的「人物與交流」判斷。</x:v>
      </x:c>
      <x:c r="AF101" s="34" t="str">
        <x:v>人物報告要以事蹟和多方資料支持。</x:v>
      </x:c>
    </x:row>
    <x:row r="102" ht="76" customHeight="1">
      <x:c r="A102" s="34" t="str">
        <x:v>5B-U2</x:v>
      </x:c>
      <x:c r="B102" s="34" t="str">
        <x:v>五下</x:v>
      </x:c>
      <x:c r="C102" s="34" t="n">
        <x:v>2</x:v>
      </x:c>
      <x:c r="D102" s="34" t="str">
        <x:v>開港通商後的臺灣</x:v>
      </x:c>
      <x:c r="E102" s="34" t="str">
        <x:v>5B-U2-O3</x:v>
      </x:c>
      <x:c r="F102" s="34" t="n">
        <x:v>8</x:v>
      </x:c>
      <x:c r="G102" s="34" t="str">
        <x:v>證據判讀</x:v>
      </x:c>
      <x:c r="H102" s="34" t="str">
        <x:v>哪項資料最能支持「比較具體貢獻、限制與在地回應」？</x:v>
      </x:c>
      <x:c r="I102" s="34" t="str">
        <x:v>和題目直接有關的資料</x:v>
      </x:c>
      <x:c r="J102" s="34" t="str">
        <x:v>規範可調整，互助目的仍保留</x:v>
      </x:c>
      <x:c r="K102" s="34" t="str">
        <x:v>相關各方應依資料協商文化與保育</x:v>
      </x:c>
      <x:c r="L102" s="34" t="str">
        <x:v>保留植被並依坡度調整耕作</x:v>
      </x:c>
      <x:c r="M102" s="34" t="str">
        <x:v>A</x:v>
      </x:c>
      <x:c r="N102" s="34" t="str">
        <x:v>和題目直接有關的資料</x:v>
      </x:c>
      <x:c r="O102" s="34" t="str">
        <x:v>先辨身分與行動，再談影響。</x:v>
      </x:c>
      <x:c r="P102" s="34" t="str">
        <x:v>這題檢查的是證據能否直接支持「分辨醫療教育、出版與自然研究等行動，也檢查文化交流和權力脈絡」，不是文字長短或票數。人物行動各異，歷史評估既要看具體貢獻，也不能忽略目的、限制和在地回應。</x:v>
      </x:c>
      <x:c r="Q102" s="34" t="str">
        <x:v>答對了；「和題目直接有關的資料」同時保留了人物與交流需要的範圍與限制。</x:v>
      </x:c>
      <x:c r="R102" s="34" t="str">
        <x:v>「規範可調整，互助目的仍保留」是「規範變遷」的重點，但不能回答本題的「人物與交流」。請回看：先辨身分與行動，再談影響。</x:v>
      </x:c>
      <x:c r="S102" s="34" t="str">
        <x:v>「相關各方應依資料協商文化與保育」是「權利權衡」的重點，但不能回答本題的「人物與交流」。請回看：先辨身分與行動，再談影響。</x:v>
      </x:c>
      <x:c r="T102" s="34" t="str">
        <x:v>「保留植被並依坡度調整耕作」是「永續農業」的重點，但不能回答本題的「人物與交流」。請回看：先辨身分與行動，再談影響。</x:v>
      </x:c>
      <x:c r="U102" s="34" t="str">
        <x:v>判斷正確</x:v>
      </x:c>
      <x:c r="V102" s="34" t="str">
        <x:v>證據不足</x:v>
      </x:c>
      <x:c r="W102" s="34" t="str">
        <x:v>忽略利害關係人</x:v>
      </x:c>
      <x:c r="X102" s="34" t="str">
        <x:v>把意見當證據</x:v>
      </x:c>
      <x:c r="Y102" s="34" t="str">
        <x:v>先辨身分與行動，再談影響。</x:v>
      </x:c>
      <x:c r="Z102" s="34" t="str">
        <x:v>核對單位、時間、尺度與原始數值</x:v>
      </x:c>
      <x:c r="AA102" s="34" t="str">
        <x:v>設計耐用可修產品並回收再製</x:v>
      </x:c>
      <x:c r="AB102" s="34" t="str">
        <x:v>A</x:v>
      </x:c>
      <x:c r="AC102" s="34" t="str">
        <x:v>這是判斷「人物與交流」時要使用的依據。人物行動各異，歷史評估既要看具體貢獻，也不能忽略目的、限制和在地回應。</x:v>
      </x:c>
      <x:c r="AD102" s="34" t="str">
        <x:v>這是「圖表判讀」的重點；本題要判斷的是「人物與交流」，兩者不能互相代替。</x:v>
      </x:c>
      <x:c r="AE102" s="34" t="str">
        <x:v>這項知識屬於「循環經濟」，無法支持本題的「人物與交流」判斷。</x:v>
      </x:c>
      <x:c r="AF102" s="34" t="str">
        <x:v>人物報告要以事蹟和多方資料支持。</x:v>
      </x:c>
    </x:row>
    <x:row r="103" ht="76" customHeight="1">
      <x:c r="A103" s="34" t="str">
        <x:v>5B-U2</x:v>
      </x:c>
      <x:c r="B103" s="34" t="str">
        <x:v>五下</x:v>
      </x:c>
      <x:c r="C103" s="34" t="n">
        <x:v>2</x:v>
      </x:c>
      <x:c r="D103" s="34" t="str">
        <x:v>開港通商後的臺灣</x:v>
      </x:c>
      <x:c r="E103" s="34" t="str">
        <x:v>5B-U2-O3</x:v>
      </x:c>
      <x:c r="F103" s="34" t="n">
        <x:v>9</x:v>
      </x:c>
      <x:c r="G103" s="34" t="str">
        <x:v>迷思修正</x:v>
      </x:c>
      <x:c r="H103" s="34" t="str">
        <x:v>有人說：「把三人都寫成茶葉商人」哪個答案能改正這個說法？</x:v>
      </x:c>
      <x:c r="I103" s="34" t="str">
        <x:v>比較具體貢獻、限制與在地回應</x:v>
      </x:c>
      <x:c r="J103" s="34" t="str">
        <x:v>依能源補充性與環境特性分類</x:v>
      </x:c>
      <x:c r="K103" s="34" t="str">
        <x:v>依地理條件發展能源並評估影響</x:v>
      </x:c>
      <x:c r="L103" s="34" t="str">
        <x:v>用共同指標比較各能源的代價</x:v>
      </x:c>
      <x:c r="M103" s="34" t="str">
        <x:v>A</x:v>
      </x:c>
      <x:c r="N103" s="34" t="str">
        <x:v>比較具體貢獻、限制與在地回應</x:v>
      </x:c>
      <x:c r="O103" s="34" t="str">
        <x:v>先辨身分與行動，再談影響。</x:v>
      </x:c>
      <x:c r="P103" s="34" t="str">
        <x:v>迷思「把三人都寫成茶葉商人」的問題，是它沒有處理「馬偕、巴克禮、斯文豪等外國人士在臺活動」提供的關鍵條件。人物行動各異，歷史評估既要看具體貢獻，也不能忽略目的、限制和在地回應。</x:v>
      </x:c>
      <x:c r="Q103" s="34" t="str">
        <x:v>你的判讀可被查證：比較具體貢獻、限制與在地回應。這正是人物與交流要比較的核心。</x:v>
      </x:c>
      <x:c r="R103" s="34" t="str">
        <x:v>「依能源補充性與環境特性分類」是「能源分類」的重點，但不能回答本題的「人物與交流」。請回看：先辨身分與行動，再談影響。</x:v>
      </x:c>
      <x:c r="S103" s="34" t="str">
        <x:v>「依地理條件發展能源並評估影響」是「地理配對」的重點，但不能回答本題的「人物與交流」。請回看：先辨身分與行動，再談影響。</x:v>
      </x:c>
      <x:c r="T103" s="34" t="str">
        <x:v>「用共同指標比較各能源的代價」是「能源代價」的重點，但不能回答本題的「人物與交流」。請回看：先辨身分與行動，再談影響。</x:v>
      </x:c>
      <x:c r="U103" s="34" t="str">
        <x:v>判斷正確</x:v>
      </x:c>
      <x:c r="V103" s="34" t="str">
        <x:v>忽略利害關係人</x:v>
      </x:c>
      <x:c r="W103" s="34" t="str">
        <x:v>把意見當證據</x:v>
      </x:c>
      <x:c r="X103" s="34" t="str">
        <x:v>位置錯置</x:v>
      </x:c>
      <x:c r="Y103" s="34" t="str">
        <x:v>先辨身分與行動，再談影響。</x:v>
      </x:c>
      <x:c r="Z103" s="34" t="str">
        <x:v>電力帶來便利，也增加供電依賴</x:v>
      </x:c>
      <x:c r="AA103" s="34" t="str">
        <x:v>分族查資料，再比較文化異同</x:v>
      </x:c>
      <x:c r="AB103" s="34" t="str">
        <x:v>A</x:v>
      </x:c>
      <x:c r="AC103" s="34" t="str">
        <x:v>這是判斷「人物與交流」時要使用的依據。人物行動各異，歷史評估既要看具體貢獻，也不能忽略目的、限制和在地回應。</x:v>
      </x:c>
      <x:c r="AD103" s="34" t="str">
        <x:v>這是「電力與生活」的重點；本題要判斷的是「人物與交流」，兩者不能互相代替。</x:v>
      </x:c>
      <x:c r="AE103" s="34" t="str">
        <x:v>這項知識屬於「文化多樣性」，無法支持本題的「人物與交流」判斷。</x:v>
      </x:c>
      <x:c r="AF103" s="34" t="str">
        <x:v>人物報告要以事蹟和多方資料支持。</x:v>
      </x:c>
    </x:row>
    <x:row r="104" ht="76" customHeight="1">
      <x:c r="A104" s="34" t="str">
        <x:v>5B-U2</x:v>
      </x:c>
      <x:c r="B104" s="34" t="str">
        <x:v>五下</x:v>
      </x:c>
      <x:c r="C104" s="34" t="n">
        <x:v>2</x:v>
      </x:c>
      <x:c r="D104" s="34" t="str">
        <x:v>開港通商後的臺灣</x:v>
      </x:c>
      <x:c r="E104" s="34" t="str">
        <x:v>5B-U2-O4</x:v>
      </x:c>
      <x:c r="F104" s="34" t="n">
        <x:v>10</x:v>
      </x:c>
      <x:c r="G104" s="34" t="str">
        <x:v>情境判斷</x:v>
      </x:c>
      <x:c r="H104" s="34" t="str">
        <x:v>日本出兵臺灣後，清廷派沈葆楨處理並加強治理。哪個答案最合理？</x:v>
      </x:c>
      <x:c r="I104" s="34" t="str">
        <x:v>外力暴露治理不足，促使政策改變</x:v>
      </x:c>
      <x:c r="J104" s="34" t="str">
        <x:v>事件只影響日本，和臺灣無關</x:v>
      </x:c>
      <x:c r="K104" s="34" t="str">
        <x:v>清廷因四季變化才改革</x:v>
      </x:c>
      <x:c r="L104" s="34" t="str">
        <x:v>設計耐用可修產品並回收再製</x:v>
      </x:c>
      <x:c r="M104" s="34" t="str">
        <x:v>A</x:v>
      </x:c>
      <x:c r="N104" s="34" t="str">
        <x:v>外力暴露治理不足，促使政策改變</x:v>
      </x:c>
      <x:c r="O104" s="34" t="str">
        <x:v>把事件、暴露問題和政策變化連起來。</x:v>
      </x:c>
      <x:c r="P104" s="34" t="str">
        <x:v>國際危機讓清廷注意臺灣的戰略地位與治理缺口，政策因此轉變。</x:v>
      </x:c>
      <x:c r="Q104" s="34" t="str">
        <x:v>答對了；「外力暴露治理不足，促使政策改變」同時保留了牡丹社事件需要的範圍與限制。</x:v>
      </x:c>
      <x:c r="R104" s="34" t="str">
        <x:v>這項判斷忽略重要限制。請想想：把事件、暴露問題和政策變化連起來。</x:v>
      </x:c>
      <x:c r="S104" s="34" t="str">
        <x:v>焦點放錯了。請回看：把事件、暴露問題和政策變化連起來。</x:v>
      </x:c>
      <x:c r="T104" s="34" t="str">
        <x:v>「設計耐用可修產品並回收再製」是「循環經濟」的重點，但不能回答本題的「牡丹社事件」。請回看：把事件、暴露問題和政策變化連起來。</x:v>
      </x:c>
      <x:c r="U104" s="34" t="str">
        <x:v>判斷正確</x:v>
      </x:c>
      <x:c r="V104" s="34" t="str">
        <x:v>證據不足</x:v>
      </x:c>
      <x:c r="W104" s="34" t="str">
        <x:v>忽略利害關係人</x:v>
      </x:c>
      <x:c r="X104" s="34" t="str">
        <x:v>把意見當證據</x:v>
      </x:c>
      <x:c r="Y104" s="34" t="str">
        <x:v>把事件、暴露問題和政策變化連起來。</x:v>
      </x:c>
      <x:c r="Z104" s="34" t="str">
        <x:v>比較供應、動物、傳染病與廢水管理</x:v>
      </x:c>
      <x:c r="AA104" s="34" t="str">
        <x:v>分析資源、語言、組織與治理</x:v>
      </x:c>
      <x:c r="AB104" s="34" t="str">
        <x:v>A</x:v>
      </x:c>
      <x:c r="AC104" s="34" t="str">
        <x:v>這是判斷「牡丹社事件」時要使用的依據。國際危機讓清廷注意臺灣的戰略地位與治理缺口，政策因此轉變。</x:v>
      </x:c>
      <x:c r="AD104" s="34" t="str">
        <x:v>這是「畜牧權衡」的重點；本題要判斷的是「牡丹社事件」，兩者不能互相代替。</x:v>
      </x:c>
      <x:c r="AE104" s="34" t="str">
        <x:v>這項知識屬於「族群衝突」，無法支持本題的「牡丹社事件」判斷。</x:v>
      </x:c>
      <x:c r="AF104" s="34" t="str">
        <x:v>分析危機後改革時指出它揭露的漏洞。</x:v>
      </x:c>
    </x:row>
    <x:row r="105" ht="76" customHeight="1">
      <x:c r="A105" s="34" t="str">
        <x:v>5B-U2</x:v>
      </x:c>
      <x:c r="B105" s="34" t="str">
        <x:v>五下</x:v>
      </x:c>
      <x:c r="C105" s="34" t="n">
        <x:v>2</x:v>
      </x:c>
      <x:c r="D105" s="34" t="str">
        <x:v>開港通商後的臺灣</x:v>
      </x:c>
      <x:c r="E105" s="34" t="str">
        <x:v>5B-U2-O4</x:v>
      </x:c>
      <x:c r="F105" s="34" t="n">
        <x:v>11</x:v>
      </x:c>
      <x:c r="G105" s="34" t="str">
        <x:v>證據判讀</x:v>
      </x:c>
      <x:c r="H105" s="34" t="str">
        <x:v>哪項資料最能支持「外力暴露治理不足，促使政策改變」？</x:v>
      </x:c>
      <x:c r="I105" s="34" t="str">
        <x:v>和題目直接有關的資料</x:v>
      </x:c>
      <x:c r="J105" s="34" t="str">
        <x:v>南荷北西，後由鄭成功驅逐荷蘭</x:v>
      </x:c>
      <x:c r="K105" s="34" t="str">
        <x:v>比較雙方立場、目的與證據</x:v>
      </x:c>
      <x:c r="L105" s="34" t="str">
        <x:v>貿易增加，也改變土地與族群關係</x:v>
      </x:c>
      <x:c r="M105" s="34" t="str">
        <x:v>A</x:v>
      </x:c>
      <x:c r="N105" s="34" t="str">
        <x:v>和題目直接有關的資料</x:v>
      </x:c>
      <x:c r="O105" s="34" t="str">
        <x:v>把事件、暴露問題和政策變化連起來。</x:v>
      </x:c>
      <x:c r="P105" s="34" t="str">
        <x:v>這題檢查的是證據能否直接支持「外力介入暴露海防與治理不足，促使清廷改採較積極政策」，不是文字長短或票數。國際危機讓清廷注意臺灣的戰略地位與治理缺口，政策因此轉變。</x:v>
      </x:c>
      <x:c r="Q105" s="34" t="str">
        <x:v>你的判讀可被查證：和題目直接有關的資料。這正是牡丹社事件要比較的核心。</x:v>
      </x:c>
      <x:c r="R105" s="34" t="str">
        <x:v>「南荷北西，後由鄭成功驅逐荷蘭」是「時序空間」的重點，但不能回答本題的「牡丹社事件」。請回看：把事件、暴露問題和政策變化連起來。</x:v>
      </x:c>
      <x:c r="S105" s="34" t="str">
        <x:v>「比較雙方立場、目的與證據」是「多元觀點」的重點，但不能回答本題的「牡丹社事件」。請回看：把事件、暴露問題和政策變化連起來。</x:v>
      </x:c>
      <x:c r="T105" s="34" t="str">
        <x:v>「貿易增加，也改變土地與族群關係」是「貿易影響」的重點，但不能回答本題的「牡丹社事件」。請回看：把事件、暴露問題和政策變化連起來。</x:v>
      </x:c>
      <x:c r="U105" s="34" t="str">
        <x:v>判斷正確</x:v>
      </x:c>
      <x:c r="V105" s="34" t="str">
        <x:v>忽略利害關係人</x:v>
      </x:c>
      <x:c r="W105" s="34" t="str">
        <x:v>把意見當證據</x:v>
      </x:c>
      <x:c r="X105" s="34" t="str">
        <x:v>位置錯置</x:v>
      </x:c>
      <x:c r="Y105" s="34" t="str">
        <x:v>把事件、暴露問題和政策變化連起來。</x:v>
      </x:c>
      <x:c r="Z105" s="34" t="str">
        <x:v>港市帶動文化，但各族群影響不同</x:v>
      </x:c>
      <x:c r="AA105" s="34" t="str">
        <x:v>選能看見臺灣、鄰國與航線的區域圖</x:v>
      </x:c>
      <x:c r="AB105" s="34" t="str">
        <x:v>A</x:v>
      </x:c>
      <x:c r="AC105" s="34" t="str">
        <x:v>這是判斷「牡丹社事件」時要使用的依據。國際危機讓清廷注意臺灣的戰略地位與治理缺口，政策因此轉變。</x:v>
      </x:c>
      <x:c r="AD105" s="34" t="str">
        <x:v>這是「港市與文化」的重點；本題要判斷的是「牡丹社事件」，兩者不能互相代替。</x:v>
      </x:c>
      <x:c r="AE105" s="34" t="str">
        <x:v>這項知識屬於「地圖尺度」，無法支持本題的「牡丹社事件」判斷。</x:v>
      </x:c>
      <x:c r="AF105" s="34" t="str">
        <x:v>分析危機後改革時指出它揭露的漏洞。</x:v>
      </x:c>
    </x:row>
    <x:row r="106" ht="76" customHeight="1">
      <x:c r="A106" s="34" t="str">
        <x:v>5B-U2</x:v>
      </x:c>
      <x:c r="B106" s="34" t="str">
        <x:v>五下</x:v>
      </x:c>
      <x:c r="C106" s="34" t="n">
        <x:v>2</x:v>
      </x:c>
      <x:c r="D106" s="34" t="str">
        <x:v>開港通商後的臺灣</x:v>
      </x:c>
      <x:c r="E106" s="34" t="str">
        <x:v>5B-U2-O4</x:v>
      </x:c>
      <x:c r="F106" s="34" t="n">
        <x:v>12</x:v>
      </x:c>
      <x:c r="G106" s="34" t="str">
        <x:v>迷思修正</x:v>
      </x:c>
      <x:c r="H106" s="34" t="str">
        <x:v>有人說：「事件只影響日本，和臺灣無關」哪個答案能改正這個說法？</x:v>
      </x:c>
      <x:c r="I106" s="34" t="str">
        <x:v>外力暴露治理不足，促使政策改變</x:v>
      </x:c>
      <x:c r="J106" s="34" t="str">
        <x:v>比較設置前後的發電、用電與環境</x:v>
      </x:c>
      <x:c r="K106" s="34" t="str">
        <x:v>訪談多方並搭配噪音與發電資料</x:v>
      </x:c>
      <x:c r="L106" s="34" t="str">
        <x:v>比較對象、程度、證據與改善方法</x:v>
      </x:c>
      <x:c r="M106" s="34" t="str">
        <x:v>A</x:v>
      </x:c>
      <x:c r="N106" s="34" t="str">
        <x:v>外力暴露治理不足，促使政策改變</x:v>
      </x:c>
      <x:c r="O106" s="34" t="str">
        <x:v>把事件、暴露問題和政策變化連起來。</x:v>
      </x:c>
      <x:c r="P106" s="34" t="str">
        <x:v>迷思「事件只影響日本，和臺灣無關」的問題，是它沒有處理「日本出兵臺灣後，清廷派沈葆楨處理並加強治理」提供的關鍵條件。國際危機讓清廷注意臺灣的戰略地位與治理缺口，政策因此轉變。</x:v>
      </x:c>
      <x:c r="Q106" s="34" t="str">
        <x:v>判斷精準。「外力暴露治理不足，促使政策改變」直接回應牡丹社事件，推論沒有超過資料。</x:v>
      </x:c>
      <x:c r="R106" s="34" t="str">
        <x:v>「比較設置前後的發電、用電與環境」是「能源提問」的重點，但不能回答本題的「牡丹社事件」。請回看：把事件、暴露問題和政策變化連起來。</x:v>
      </x:c>
      <x:c r="S106" s="34" t="str">
        <x:v>「訪談多方並搭配噪音與發電資料」是「多元觀點」的重點，但不能回答本題的「牡丹社事件」。請回看：把事件、暴露問題和政策變化連起來。</x:v>
      </x:c>
      <x:c r="T106" s="34" t="str">
        <x:v>「比較對象、程度、證據與改善方法」是「分析權衡」的重點，但不能回答本題的「牡丹社事件」。請回看：把事件、暴露問題和政策變化連起來。</x:v>
      </x:c>
      <x:c r="U106" s="34" t="str">
        <x:v>判斷正確</x:v>
      </x:c>
      <x:c r="V106" s="34" t="str">
        <x:v>把意見當證據</x:v>
      </x:c>
      <x:c r="W106" s="34" t="str">
        <x:v>位置錯置</x:v>
      </x:c>
      <x:c r="X106" s="34" t="str">
        <x:v>忽略時空脈絡</x:v>
      </x:c>
      <x:c r="Y106" s="34" t="str">
        <x:v>把事件、暴露問題和政策變化連起來。</x:v>
      </x:c>
      <x:c r="Z106" s="34" t="str">
        <x:v>查合法性，不投入無法承受的資金</x:v>
      </x:c>
      <x:c r="AA106" s="34" t="str">
        <x:v>設禁漁期、尺寸限制並協助轉型</x:v>
      </x:c>
      <x:c r="AB106" s="34" t="str">
        <x:v>A</x:v>
      </x:c>
      <x:c r="AC106" s="34" t="str">
        <x:v>這是判斷「牡丹社事件」時要使用的依據。國際危機讓清廷注意臺灣的戰略地位與治理缺口，政策因此轉變。</x:v>
      </x:c>
      <x:c r="AD106" s="34" t="str">
        <x:v>這是「理財風險」的重點；本題要判斷的是「牡丹社事件」，兩者不能互相代替。</x:v>
      </x:c>
      <x:c r="AE106" s="34" t="str">
        <x:v>這項知識屬於「永續漁業」，無法支持本題的「牡丹社事件」判斷。</x:v>
      </x:c>
      <x:c r="AF106" s="34" t="str">
        <x:v>分析危機後改革時指出它揭露的漏洞。</x:v>
      </x:c>
    </x:row>
    <x:row r="107" ht="76" customHeight="1">
      <x:c r="A107" s="34" t="str">
        <x:v>5B-U2</x:v>
      </x:c>
      <x:c r="B107" s="34" t="str">
        <x:v>五下</x:v>
      </x:c>
      <x:c r="C107" s="34" t="n">
        <x:v>2</x:v>
      </x:c>
      <x:c r="D107" s="34" t="str">
        <x:v>開港通商後的臺灣</x:v>
      </x:c>
      <x:c r="E107" s="34" t="str">
        <x:v>5B-U2-O5</x:v>
      </x:c>
      <x:c r="F107" s="34" t="n">
        <x:v>13</x:v>
      </x:c>
      <x:c r="G107" s="34" t="str">
        <x:v>情境判斷</x:v>
      </x:c>
      <x:c r="H107" s="34" t="str">
        <x:v>清法戰爭波及基隆、淡水，1885年臺灣建省並推動鐵路電報。哪個答案最合理？</x:v>
      </x:c>
      <x:c r="I107" s="34" t="str">
        <x:v>海防受重視，建省與建設強化治理</x:v>
      </x:c>
      <x:c r="J107" s="34" t="str">
        <x:v>建省使所有建設同日完成</x:v>
      </x:c>
      <x:c r="K107" s="34" t="str">
        <x:v>戰爭只因臺灣稻米價格</x:v>
      </x:c>
      <x:c r="L107" s="34" t="str">
        <x:v>比較地形、風浪、泥沙與停靠條件</x:v>
      </x:c>
      <x:c r="M107" s="34" t="str">
        <x:v>A</x:v>
      </x:c>
      <x:c r="N107" s="34" t="str">
        <x:v>海防受重視，建省與建設強化治理</x:v>
      </x:c>
      <x:c r="O107" s="34" t="str">
        <x:v>區分戰爭起因、臺灣受波及原因與後續政策。</x:v>
      </x:c>
      <x:c r="P107" s="34" t="str">
        <x:v>戰爭凸顯戰略位置，建省與新建設提高治理能力，但執行需時間且有成本。</x:v>
      </x:c>
      <x:c r="Q107" s="34" t="str">
        <x:v>你的判讀可被查證：海防受重視，建省與建設強化治理。這正是清法戰爭與建省要比較的核心。</x:v>
      </x:c>
      <x:c r="R107" s="34" t="str">
        <x:v>焦點放錯了。請回看：區分戰爭起因、臺灣受波及原因與後續政策。</x:v>
      </x:c>
      <x:c r="S107" s="34" t="str">
        <x:v>這項推論缺少證據。請確認：區分戰爭起因、臺灣受波及原因與後續政策。</x:v>
      </x:c>
      <x:c r="T107" s="34" t="str">
        <x:v>「比較地形、風浪、泥沙與停靠條件」是「海岸變遷」的重點，但不能回答本題的「清法戰爭與建省」。請回看：區分戰爭起因、臺灣受波及原因與後續政策。</x:v>
      </x:c>
      <x:c r="U107" s="34" t="str">
        <x:v>判斷正確</x:v>
      </x:c>
      <x:c r="V107" s="34" t="str">
        <x:v>忽略利害關係人</x:v>
      </x:c>
      <x:c r="W107" s="34" t="str">
        <x:v>把意見當證據</x:v>
      </x:c>
      <x:c r="X107" s="34" t="str">
        <x:v>位置錯置</x:v>
      </x:c>
      <x:c r="Y107" s="34" t="str">
        <x:v>區分戰爭起因、臺灣受波及原因與後續政策。</x:v>
      </x:c>
      <x:c r="Z107" s="34" t="str">
        <x:v>貿易增加，也改變土地與族群關係</x:v>
      </x:c>
      <x:c r="AA107" s="34" t="str">
        <x:v>保存證據，再循正式管道申訴</x:v>
      </x:c>
      <x:c r="AB107" s="34" t="str">
        <x:v>A</x:v>
      </x:c>
      <x:c r="AC107" s="34" t="str">
        <x:v>這是判斷「清法戰爭與建省」時要使用的依據。戰爭凸顯戰略位置，建省與新建設提高治理能力，但執行需時間且有成本。</x:v>
      </x:c>
      <x:c r="AD107" s="34" t="str">
        <x:v>這是「貿易影響」的重點；本題要判斷的是「清法戰爭與建省」，兩者不能互相代替。</x:v>
      </x:c>
      <x:c r="AE107" s="34" t="str">
        <x:v>這項知識屬於「消費權益」，無法支持本題的「清法戰爭與建省」判斷。</x:v>
      </x:c>
      <x:c r="AF107" s="34" t="str">
        <x:v>評估制度改革時區分宣布與實際成效。</x:v>
      </x:c>
    </x:row>
    <x:row r="108" ht="76" customHeight="1">
      <x:c r="A108" s="34" t="str">
        <x:v>5B-U2</x:v>
      </x:c>
      <x:c r="B108" s="34" t="str">
        <x:v>五下</x:v>
      </x:c>
      <x:c r="C108" s="34" t="n">
        <x:v>2</x:v>
      </x:c>
      <x:c r="D108" s="34" t="str">
        <x:v>開港通商後的臺灣</x:v>
      </x:c>
      <x:c r="E108" s="34" t="str">
        <x:v>5B-U2-O5</x:v>
      </x:c>
      <x:c r="F108" s="34" t="n">
        <x:v>14</x:v>
      </x:c>
      <x:c r="G108" s="34" t="str">
        <x:v>證據判讀</x:v>
      </x:c>
      <x:c r="H108" s="34" t="str">
        <x:v>哪項資料最能支持「海防受重視，建省與建設強化治理」？</x:v>
      </x:c>
      <x:c r="I108" s="34" t="str">
        <x:v>和題目直接有關的資料</x:v>
      </x:c>
      <x:c r="J108" s="34" t="str">
        <x:v>合作修水圳，訂分水與維修規則</x:v>
      </x:c>
      <x:c r="K108" s="34" t="str">
        <x:v>生活、機會與政策共同影響移動</x:v>
      </x:c>
      <x:c r="L108" s="34" t="str">
        <x:v>分析資源、語言、組織與治理</x:v>
      </x:c>
      <x:c r="M108" s="34" t="str">
        <x:v>A</x:v>
      </x:c>
      <x:c r="N108" s="34" t="str">
        <x:v>和題目直接有關的資料</x:v>
      </x:c>
      <x:c r="O108" s="34" t="str">
        <x:v>區分戰爭起因、臺灣受波及原因與後續政策。</x:v>
      </x:c>
      <x:c r="P108" s="34" t="str">
        <x:v>這題檢查的是證據能否直接支持「臺灣的海防價值受到重視，行政升級和交通通信用來強化治理」，不是文字長短或票數。戰爭凸顯戰略位置，建省與新建設提高治理能力，但執行需時間且有成本。</x:v>
      </x:c>
      <x:c r="Q108" s="34" t="str">
        <x:v>判斷精準。「和題目直接有關的資料」直接回應清法戰爭與建省，推論沒有超過資料。</x:v>
      </x:c>
      <x:c r="R108" s="34" t="str">
        <x:v>「合作修水圳，訂分水與維修規則」是「水利開墾」的重點，但不能回答本題的「清法戰爭與建省」。請回看：區分戰爭起因、臺灣受波及原因與後續政策。</x:v>
      </x:c>
      <x:c r="S108" s="34" t="str">
        <x:v>「生活、機會與政策共同影響移動」是「遷移原因」的重點，但不能回答本題的「清法戰爭與建省」。請回看：區分戰爭起因、臺灣受波及原因與後續政策。</x:v>
      </x:c>
      <x:c r="T108" s="34" t="str">
        <x:v>「分析資源、語言、組織與治理」是「族群衝突」的重點，但不能回答本題的「清法戰爭與建省」。請回看：區分戰爭起因、臺灣受波及原因與後續政策。</x:v>
      </x:c>
      <x:c r="U108" s="34" t="str">
        <x:v>判斷正確</x:v>
      </x:c>
      <x:c r="V108" s="34" t="str">
        <x:v>把意見當證據</x:v>
      </x:c>
      <x:c r="W108" s="34" t="str">
        <x:v>位置錯置</x:v>
      </x:c>
      <x:c r="X108" s="34" t="str">
        <x:v>忽略時空脈絡</x:v>
      </x:c>
      <x:c r="Y108" s="34" t="str">
        <x:v>區分戰爭起因、臺灣受波及原因與後續政策。</x:v>
      </x:c>
      <x:c r="Z108" s="34" t="str">
        <x:v>保存證據，再循正式管道申訴</x:v>
      </x:c>
      <x:c r="AA108" s="34" t="str">
        <x:v>規範可調整，互助目的仍保留</x:v>
      </x:c>
      <x:c r="AB108" s="34" t="str">
        <x:v>A</x:v>
      </x:c>
      <x:c r="AC108" s="34" t="str">
        <x:v>這是判斷「清法戰爭與建省」時要使用的依據。戰爭凸顯戰略位置，建省與新建設提高治理能力，但執行需時間且有成本。</x:v>
      </x:c>
      <x:c r="AD108" s="34" t="str">
        <x:v>這是「消費權益」的重點；本題要判斷的是「清法戰爭與建省」，兩者不能互相代替。</x:v>
      </x:c>
      <x:c r="AE108" s="34" t="str">
        <x:v>這項知識屬於「規範變遷」，無法支持本題的「清法戰爭與建省」判斷。</x:v>
      </x:c>
      <x:c r="AF108" s="34" t="str">
        <x:v>評估制度改革時區分宣布與實際成效。</x:v>
      </x:c>
    </x:row>
    <x:row r="109" ht="76" customHeight="1">
      <x:c r="A109" s="34" t="str">
        <x:v>5B-U2</x:v>
      </x:c>
      <x:c r="B109" s="34" t="str">
        <x:v>五下</x:v>
      </x:c>
      <x:c r="C109" s="34" t="n">
        <x:v>2</x:v>
      </x:c>
      <x:c r="D109" s="34" t="str">
        <x:v>開港通商後的臺灣</x:v>
      </x:c>
      <x:c r="E109" s="34" t="str">
        <x:v>5B-U2-O5</x:v>
      </x:c>
      <x:c r="F109" s="34" t="n">
        <x:v>15</x:v>
      </x:c>
      <x:c r="G109" s="34" t="str">
        <x:v>迷思修正</x:v>
      </x:c>
      <x:c r="H109" s="34" t="str">
        <x:v>有人說：「建省使所有建設同日完成」哪個答案能改正這個說法？</x:v>
      </x:c>
      <x:c r="I109" s="34" t="str">
        <x:v>海防受重視，建省與建設強化治理</x:v>
      </x:c>
      <x:c r="J109" s="34" t="str">
        <x:v>遺物顯示可能已有農耕定居生活</x:v>
      </x:c>
      <x:c r="K109" s="34" t="str">
        <x:v>分族查資料，再比較文化異同</x:v>
      </x:c>
      <x:c r="L109" s="34" t="str">
        <x:v>環境、季節與歷史共同影響生活</x:v>
      </x:c>
      <x:c r="M109" s="34" t="str">
        <x:v>A</x:v>
      </x:c>
      <x:c r="N109" s="34" t="str">
        <x:v>海防受重視，建省與建設強化治理</x:v>
      </x:c>
      <x:c r="O109" s="34" t="str">
        <x:v>區分戰爭起因、臺灣受波及原因與後續政策。</x:v>
      </x:c>
      <x:c r="P109" s="34" t="str">
        <x:v>迷思「建省使所有建設同日完成」的問題，是它沒有處理「清法戰爭波及基隆、淡水，1885年臺灣建省並推動鐵路電報」提供的關鍵條件。戰爭凸顯戰略位置，建省與新建設提高治理能力，但執行需時間且有成本。</x:v>
      </x:c>
      <x:c r="Q109" s="34" t="str">
        <x:v>這項選擇成立：海防受重視，建省與建設強化治理。它抓住清法戰爭與建省的關鍵條件。</x:v>
      </x:c>
      <x:c r="R109" s="34" t="str">
        <x:v>「遺物顯示可能已有農耕定居生活」是「史前證據」的重點，但不能回答本題的「清法戰爭與建省」。請回看：區分戰爭起因、臺灣受波及原因與後續政策。</x:v>
      </x:c>
      <x:c r="S109" s="34" t="str">
        <x:v>「分族查資料，再比較文化異同」是「文化多樣性」的重點，但不能回答本題的「清法戰爭與建省」。請回看：區分戰爭起因、臺灣受波及原因與後續政策。</x:v>
      </x:c>
      <x:c r="T109" s="34" t="str">
        <x:v>「環境、季節與歷史共同影響生活」是「環境與生活」的重點，但不能回答本題的「清法戰爭與建省」。請回看：區分戰爭起因、臺灣受波及原因與後續政策。</x:v>
      </x:c>
      <x:c r="U109" s="34" t="str">
        <x:v>判斷正確</x:v>
      </x:c>
      <x:c r="V109" s="34" t="str">
        <x:v>位置錯置</x:v>
      </x:c>
      <x:c r="W109" s="34" t="str">
        <x:v>忽略時空脈絡</x:v>
      </x:c>
      <x:c r="X109" s="34" t="str">
        <x:v>過度概括</x:v>
      </x:c>
      <x:c r="Y109" s="34" t="str">
        <x:v>區分戰爭起因、臺灣受波及原因與後續政策。</x:v>
      </x:c>
      <x:c r="Z109" s="34" t="str">
        <x:v>板塊交界造成多山與地震</x:v>
      </x:c>
      <x:c r="AA109" s="34" t="str">
        <x:v>核對單位、時間、尺度與原始數值</x:v>
      </x:c>
      <x:c r="AB109" s="34" t="str">
        <x:v>A</x:v>
      </x:c>
      <x:c r="AC109" s="34" t="str">
        <x:v>這是判斷「清法戰爭與建省」時要使用的依據。戰爭凸顯戰略位置，建省與新建設提高治理能力，但執行需時間且有成本。</x:v>
      </x:c>
      <x:c r="AD109" s="34" t="str">
        <x:v>這是「板塊與地形」的重點；本題要判斷的是「清法戰爭與建省」，兩者不能互相代替。</x:v>
      </x:c>
      <x:c r="AE109" s="34" t="str">
        <x:v>這項知識屬於「圖表判讀」，無法支持本題的「清法戰爭與建省」判斷。</x:v>
      </x:c>
      <x:c r="AF109" s="34" t="str">
        <x:v>評估制度改革時區分宣布與實際成效。</x:v>
      </x:c>
    </x:row>
    <x:row r="110" ht="76" customHeight="1">
      <x:c r="A110" s="35" t="str">
        <x:v>5B-U3</x:v>
      </x:c>
      <x:c r="B110" s="35" t="str">
        <x:v>五下</x:v>
      </x:c>
      <x:c r="C110" s="35" t="n">
        <x:v>3</x:v>
      </x:c>
      <x:c r="D110" s="35" t="str">
        <x:v>臺灣電力的發展</x:v>
      </x:c>
      <x:c r="E110" s="35" t="str">
        <x:v>5B-U3-O1</x:v>
      </x:c>
      <x:c r="F110" s="35" t="n">
        <x:v>1</x:v>
      </x:c>
      <x:c r="G110" s="35" t="str">
        <x:v>情境判斷</x:v>
      </x:c>
      <x:c r="H110" s="35" t="str">
        <x:v>電燈、交通號誌與家電逐漸普及。哪個答案最合理？</x:v>
      </x:c>
      <x:c r="I110" s="35" t="str">
        <x:v>電力帶來便利，也增加供電依賴</x:v>
      </x:c>
      <x:c r="J110" s="35" t="str">
        <x:v>所有人立刻停止白天活動</x:v>
      </x:c>
      <x:c r="K110" s="35" t="str">
        <x:v>有電後不會再發生火災</x:v>
      </x:c>
      <x:c r="L110" s="35" t="str">
        <x:v>港市帶動文化，但各族群影響不同</x:v>
      </x:c>
      <x:c r="M110" s="35" t="str">
        <x:v>A</x:v>
      </x:c>
      <x:c r="N110" s="35" t="str">
        <x:v>電力帶來便利，也增加供電依賴</x:v>
      </x:c>
      <x:c r="O110" s="35" t="str">
        <x:v>同時看便利與依賴。</x:v>
      </x:c>
      <x:c r="P110" s="35" t="str">
        <x:v>電力延伸活動時間並替代部分火光，也形成停電時的新脆弱性。</x:v>
      </x:c>
      <x:c r="Q110" s="35" t="str">
        <x:v>判斷精準。「電力帶來便利，也增加供電依賴」直接回應電力與生活，推論沒有超過資料。</x:v>
      </x:c>
      <x:c r="R110" s="35" t="str">
        <x:v>這項推論缺少證據。請確認：同時看便利與依賴。</x:v>
      </x:c>
      <x:c r="S110" s="35" t="str">
        <x:v>選項和題意關係較弱。提示：同時看便利與依賴。</x:v>
      </x:c>
      <x:c r="T110" s="35" t="str">
        <x:v>「港市帶動文化，但各族群影響不同」是「港市與文化」的重點，但不能回答本題的「電力與生活」。請回看：同時看便利與依賴。</x:v>
      </x:c>
      <x:c r="U110" s="35" t="str">
        <x:v>判斷正確</x:v>
      </x:c>
      <x:c r="V110" s="35" t="str">
        <x:v>忽略時空脈絡</x:v>
      </x:c>
      <x:c r="W110" s="35" t="str">
        <x:v>過度概括</x:v>
      </x:c>
      <x:c r="X110" s="35" t="str">
        <x:v>單因推論</x:v>
      </x:c>
      <x:c r="Y110" s="35" t="str">
        <x:v>同時看便利與依賴。</x:v>
      </x:c>
      <x:c r="Z110" s="35" t="str">
        <x:v>比較地形、風浪、泥沙與停靠條件</x:v>
      </x:c>
      <x:c r="AA110" s="35" t="str">
        <x:v>聚焦特定海岸、時間與不同觀點</x:v>
      </x:c>
      <x:c r="AB110" s="35" t="str">
        <x:v>A</x:v>
      </x:c>
      <x:c r="AC110" s="35" t="str">
        <x:v>這是判斷「電力與生活」時要使用的依據。電力延伸活動時間並替代部分火光，也形成停電時的新脆弱性。</x:v>
      </x:c>
      <x:c r="AD110" s="35" t="str">
        <x:v>這是「海岸變遷」的重點；本題要判斷的是「電力與生活」，兩者不能互相代替。</x:v>
      </x:c>
      <x:c r="AE110" s="35" t="str">
        <x:v>這項知識屬於「問題形成」，無法支持本題的「電力與生活」判斷。</x:v>
      </x:c>
      <x:c r="AF110" s="35" t="str">
        <x:v>停電演練要準備照明、交通與通訊備案。</x:v>
      </x:c>
    </x:row>
    <x:row r="111" ht="76" customHeight="1">
      <x:c r="A111" s="35" t="str">
        <x:v>5B-U3</x:v>
      </x:c>
      <x:c r="B111" s="35" t="str">
        <x:v>五下</x:v>
      </x:c>
      <x:c r="C111" s="35" t="n">
        <x:v>3</x:v>
      </x:c>
      <x:c r="D111" s="35" t="str">
        <x:v>臺灣電力的發展</x:v>
      </x:c>
      <x:c r="E111" s="35" t="str">
        <x:v>5B-U3-O1</x:v>
      </x:c>
      <x:c r="F111" s="35" t="n">
        <x:v>2</x:v>
      </x:c>
      <x:c r="G111" s="35" t="str">
        <x:v>證據判讀</x:v>
      </x:c>
      <x:c r="H111" s="35" t="str">
        <x:v>哪項資料最能支持「電力帶來便利，也增加供電依賴」？</x:v>
      </x:c>
      <x:c r="I111" s="35" t="str">
        <x:v>和題目直接有關的資料</x:v>
      </x:c>
      <x:c r="J111" s="35" t="str">
        <x:v>規範與法律的形成及強制力不同</x:v>
      </x:c>
      <x:c r="K111" s="35" t="str">
        <x:v>規範可調整，互助目的仍保留</x:v>
      </x:c>
      <x:c r="L111" s="35" t="str">
        <x:v>相關各方應依資料協商文化與保育</x:v>
      </x:c>
      <x:c r="M111" s="35" t="str">
        <x:v>A</x:v>
      </x:c>
      <x:c r="N111" s="35" t="str">
        <x:v>和題目直接有關的資料</x:v>
      </x:c>
      <x:c r="O111" s="35" t="str">
        <x:v>同時看便利與依賴。</x:v>
      </x:c>
      <x:c r="P111" s="35" t="str">
        <x:v>這題檢查的是證據能否直接支持「夜間活動與安全改善，但社會也更依賴穩定供電」，不是文字長短或票數。電力延伸活動時間並替代部分火光，也形成停電時的新脆弱性。</x:v>
      </x:c>
      <x:c r="Q111" s="35" t="str">
        <x:v>這項選擇成立：和題目直接有關的資料。它抓住電力與生活的關鍵條件。</x:v>
      </x:c>
      <x:c r="R111" s="35" t="str">
        <x:v>「規範與法律的形成及強制力不同」是「規範與法律」的重點，但不能回答本題的「電力與生活」。請回看：同時看便利與依賴。</x:v>
      </x:c>
      <x:c r="S111" s="35" t="str">
        <x:v>「規範可調整，互助目的仍保留」是「規範變遷」的重點，但不能回答本題的「電力與生活」。請回看：同時看便利與依賴。</x:v>
      </x:c>
      <x:c r="T111" s="35" t="str">
        <x:v>「相關各方應依資料協商文化與保育」是「權利權衡」的重點，但不能回答本題的「電力與生活」。請回看：同時看便利與依賴。</x:v>
      </x:c>
      <x:c r="U111" s="35" t="str">
        <x:v>判斷正確</x:v>
      </x:c>
      <x:c r="V111" s="35" t="str">
        <x:v>過度概括</x:v>
      </x:c>
      <x:c r="W111" s="35" t="str">
        <x:v>單因推論</x:v>
      </x:c>
      <x:c r="X111" s="35" t="str">
        <x:v>證據不足</x:v>
      </x:c>
      <x:c r="Y111" s="35" t="str">
        <x:v>同時看便利與依賴。</x:v>
      </x:c>
      <x:c r="Z111" s="35" t="str">
        <x:v>結合檔案、觀察與多方訪談</x:v>
      </x:c>
      <x:c r="AA111" s="35" t="str">
        <x:v>訂規則、維修配置與歸還責任</x:v>
      </x:c>
      <x:c r="AB111" s="35" t="str">
        <x:v>A</x:v>
      </x:c>
      <x:c r="AC111" s="35" t="str">
        <x:v>這是判斷「電力與生活」時要使用的依據。電力延伸活動時間並替代部分火光，也形成停電時的新脆弱性。</x:v>
      </x:c>
      <x:c r="AD111" s="35" t="str">
        <x:v>這是「多元資料」的重點；本題要判斷的是「電力與生活」，兩者不能互相代替。</x:v>
      </x:c>
      <x:c r="AE111" s="35" t="str">
        <x:v>這項知識屬於「共享資源」，無法支持本題的「電力與生活」判斷。</x:v>
      </x:c>
      <x:c r="AF111" s="35" t="str">
        <x:v>停電演練要準備照明、交通與通訊備案。</x:v>
      </x:c>
    </x:row>
    <x:row r="112" ht="76" customHeight="1">
      <x:c r="A112" s="35" t="str">
        <x:v>5B-U3</x:v>
      </x:c>
      <x:c r="B112" s="35" t="str">
        <x:v>五下</x:v>
      </x:c>
      <x:c r="C112" s="35" t="n">
        <x:v>3</x:v>
      </x:c>
      <x:c r="D112" s="35" t="str">
        <x:v>臺灣電力的發展</x:v>
      </x:c>
      <x:c r="E112" s="35" t="str">
        <x:v>5B-U3-O1</x:v>
      </x:c>
      <x:c r="F112" s="35" t="n">
        <x:v>3</x:v>
      </x:c>
      <x:c r="G112" s="35" t="str">
        <x:v>迷思修正</x:v>
      </x:c>
      <x:c r="H112" s="35" t="str">
        <x:v>有人說：「所有人立刻停止白天活動」哪個答案能改正這個說法？</x:v>
      </x:c>
      <x:c r="I112" s="35" t="str">
        <x:v>電力帶來便利，也增加供電依賴</x:v>
      </x:c>
      <x:c r="J112" s="35" t="str">
        <x:v>通商壓力、物產與航路共同促成開港</x:v>
      </x:c>
      <x:c r="K112" s="35" t="str">
        <x:v>商品與港口帶動北部市鎮發展</x:v>
      </x:c>
      <x:c r="L112" s="35" t="str">
        <x:v>比較具體貢獻、限制與在地回應</x:v>
      </x:c>
      <x:c r="M112" s="35" t="str">
        <x:v>A</x:v>
      </x:c>
      <x:c r="N112" s="35" t="str">
        <x:v>電力帶來便利，也增加供電依賴</x:v>
      </x:c>
      <x:c r="O112" s="35" t="str">
        <x:v>同時看便利與依賴。</x:v>
      </x:c>
      <x:c r="P112" s="35" t="str">
        <x:v>迷思「所有人立刻停止白天活動」的問題，是它沒有處理「電燈、交通號誌與家電逐漸普及」提供的關鍵條件。電力延伸活動時間並替代部分火光，也形成停電時的新脆弱性。</x:v>
      </x:c>
      <x:c r="Q112" s="35" t="str">
        <x:v>證據吻合。選項「電力帶來便利，也增加供電依賴」能把電力與生活的線索合理連起來。</x:v>
      </x:c>
      <x:c r="R112" s="35" t="str">
        <x:v>「通商壓力、物產與航路共同促成開港」是「開港背景」的重點，但不能回答本題的「電力與生活」。請回看：同時看便利與依賴。</x:v>
      </x:c>
      <x:c r="S112" s="35" t="str">
        <x:v>「商品與港口帶動北部市鎮發展」是「經濟北移」的重點，但不能回答本題的「電力與生活」。請回看：同時看便利與依賴。</x:v>
      </x:c>
      <x:c r="T112" s="35" t="str">
        <x:v>「比較具體貢獻、限制與在地回應」是「人物與交流」的重點，但不能回答本題的「電力與生活」。請回看：同時看便利與依賴。</x:v>
      </x:c>
      <x:c r="U112" s="35" t="str">
        <x:v>判斷正確</x:v>
      </x:c>
      <x:c r="V112" s="35" t="str">
        <x:v>單因推論</x:v>
      </x:c>
      <x:c r="W112" s="35" t="str">
        <x:v>證據不足</x:v>
      </x:c>
      <x:c r="X112" s="35" t="str">
        <x:v>忽略利害關係人</x:v>
      </x:c>
      <x:c r="Y112" s="35" t="str">
        <x:v>同時看便利與依賴。</x:v>
      </x:c>
      <x:c r="Z112" s="35" t="str">
        <x:v>港市帶動文化，但各族群影響不同</x:v>
      </x:c>
      <x:c r="AA112" s="35" t="str">
        <x:v>遺物顯示可能已有農耕定居生活</x:v>
      </x:c>
      <x:c r="AB112" s="35" t="str">
        <x:v>A</x:v>
      </x:c>
      <x:c r="AC112" s="35" t="str">
        <x:v>這是判斷「電力與生活」時要使用的依據。電力延伸活動時間並替代部分火光，也形成停電時的新脆弱性。</x:v>
      </x:c>
      <x:c r="AD112" s="35" t="str">
        <x:v>這是「港市與文化」的重點；本題要判斷的是「電力與生活」，兩者不能互相代替。</x:v>
      </x:c>
      <x:c r="AE112" s="35" t="str">
        <x:v>這項知識屬於「史前證據」，無法支持本題的「電力與生活」判斷。</x:v>
      </x:c>
      <x:c r="AF112" s="35" t="str">
        <x:v>停電演練要準備照明、交通與通訊備案。</x:v>
      </x:c>
    </x:row>
    <x:row r="113" ht="76" customHeight="1">
      <x:c r="A113" s="35" t="str">
        <x:v>5B-U3</x:v>
      </x:c>
      <x:c r="B113" s="35" t="str">
        <x:v>五下</x:v>
      </x:c>
      <x:c r="C113" s="35" t="n">
        <x:v>3</x:v>
      </x:c>
      <x:c r="D113" s="35" t="str">
        <x:v>臺灣電力的發展</x:v>
      </x:c>
      <x:c r="E113" s="35" t="str">
        <x:v>5B-U3-O2</x:v>
      </x:c>
      <x:c r="F113" s="35" t="n">
        <x:v>4</x:v>
      </x:c>
      <x:c r="G113" s="35" t="str">
        <x:v>情境判斷</x:v>
      </x:c>
      <x:c r="H113" s="35" t="str">
        <x:v>臺灣使用煤、天然氣、核能、風、光、水力與地熱發電。哪個答案最合理？</x:v>
      </x:c>
      <x:c r="I113" s="35" t="str">
        <x:v>依能源補充性與環境特性分類</x:v>
      </x:c>
      <x:c r="J113" s="35" t="str">
        <x:v>設備外觀是否漂亮</x:v>
      </x:c>
      <x:c r="K113" s="35" t="str">
        <x:v>電廠名稱有幾個字</x:v>
      </x:c>
      <x:c r="L113" s="35" t="str">
        <x:v>訂規則、維修配置與歸還責任</x:v>
      </x:c>
      <x:c r="M113" s="35" t="str">
        <x:v>A</x:v>
      </x:c>
      <x:c r="N113" s="35" t="str">
        <x:v>依能源補充性與環境特性分類</x:v>
      </x:c>
      <x:c r="O113" s="35" t="str">
        <x:v>先看來源，再看優缺點。</x:v>
      </x:c>
      <x:c r="P113" s="35" t="str">
        <x:v>再生與非再生能源依來源補充性分類，後續還需比較穩定、成本與環境。</x:v>
      </x:c>
      <x:c r="Q113" s="35" t="str">
        <x:v>這項選擇成立：依能源補充性與環境特性分類。它抓住能源分類的關鍵條件。</x:v>
      </x:c>
      <x:c r="R113" s="35" t="str">
        <x:v>選項和題意關係較弱。提示：先看來源，再看優缺點。</x:v>
      </x:c>
      <x:c r="S113" s="35" t="str">
        <x:v>這裡混淆了條件與結論。提示：先看來源，再看優缺點。</x:v>
      </x:c>
      <x:c r="T113" s="35" t="str">
        <x:v>「訂規則、維修配置與歸還責任」是「共享資源」的重點，但不能回答本題的「能源分類」。請回看：先看來源，再看優缺點。</x:v>
      </x:c>
      <x:c r="U113" s="35" t="str">
        <x:v>判斷正確</x:v>
      </x:c>
      <x:c r="V113" s="35" t="str">
        <x:v>過度概括</x:v>
      </x:c>
      <x:c r="W113" s="35" t="str">
        <x:v>單因推論</x:v>
      </x:c>
      <x:c r="X113" s="35" t="str">
        <x:v>證據不足</x:v>
      </x:c>
      <x:c r="Y113" s="35" t="str">
        <x:v>先看來源，再看優缺點。</x:v>
      </x:c>
      <x:c r="Z113" s="35" t="str">
        <x:v>保留植被並依坡度調整耕作</x:v>
      </x:c>
      <x:c r="AA113" s="35" t="str">
        <x:v>生活、機會與政策共同影響移動</x:v>
      </x:c>
      <x:c r="AB113" s="35" t="str">
        <x:v>A</x:v>
      </x:c>
      <x:c r="AC113" s="35" t="str">
        <x:v>這是判斷「能源分類」時要使用的依據。再生與非再生能源依來源補充性分類，後續還需比較穩定、成本與環境。</x:v>
      </x:c>
      <x:c r="AD113" s="35" t="str">
        <x:v>這是「永續農業」的重點；本題要判斷的是「能源分類」，兩者不能互相代替。</x:v>
      </x:c>
      <x:c r="AE113" s="35" t="str">
        <x:v>這項知識屬於「遷移原因」，無法支持本題的「能源分類」判斷。</x:v>
      </x:c>
      <x:c r="AF113" s="35" t="str">
        <x:v>讀能源圖表時不要把設備和能源來源混為一談。</x:v>
      </x:c>
    </x:row>
    <x:row r="114" ht="76" customHeight="1">
      <x:c r="A114" s="35" t="str">
        <x:v>5B-U3</x:v>
      </x:c>
      <x:c r="B114" s="35" t="str">
        <x:v>五下</x:v>
      </x:c>
      <x:c r="C114" s="35" t="n">
        <x:v>3</x:v>
      </x:c>
      <x:c r="D114" s="35" t="str">
        <x:v>臺灣電力的發展</x:v>
      </x:c>
      <x:c r="E114" s="35" t="str">
        <x:v>5B-U3-O2</x:v>
      </x:c>
      <x:c r="F114" s="35" t="n">
        <x:v>5</x:v>
      </x:c>
      <x:c r="G114" s="35" t="str">
        <x:v>證據判讀</x:v>
      </x:c>
      <x:c r="H114" s="35" t="str">
        <x:v>哪項資料最能支持「依能源補充性與環境特性分類」？</x:v>
      </x:c>
      <x:c r="I114" s="35" t="str">
        <x:v>和題目直接有關的資料</x:v>
      </x:c>
      <x:c r="J114" s="35" t="str">
        <x:v>臺灣鄰近航路，利於貿易競爭</x:v>
      </x:c>
      <x:c r="K114" s="35" t="str">
        <x:v>南荷北西，後由鄭成功驅逐荷蘭</x:v>
      </x:c>
      <x:c r="L114" s="35" t="str">
        <x:v>比較雙方立場、目的與證據</x:v>
      </x:c>
      <x:c r="M114" s="35" t="str">
        <x:v>A</x:v>
      </x:c>
      <x:c r="N114" s="35" t="str">
        <x:v>和題目直接有關的資料</x:v>
      </x:c>
      <x:c r="O114" s="35" t="str">
        <x:v>先看來源，再看優缺點。</x:v>
      </x:c>
      <x:c r="P114" s="35" t="str">
        <x:v>這題檢查的是證據能否直接支持「能源能否在較短時間由自然循環補充，以及發電方式的環境特性」，不是文字長短或票數。再生與非再生能源依來源補充性分類，後續還需比較穩定、成本與環境。</x:v>
      </x:c>
      <x:c r="Q114" s="35" t="str">
        <x:v>證據吻合。選項「和題目直接有關的資料」能把能源分類的線索合理連起來。</x:v>
      </x:c>
      <x:c r="R114" s="35" t="str">
        <x:v>「臺灣鄰近航路，利於貿易競爭」是「航海動機」的重點，但不能回答本題的「能源分類」。請回看：先看來源，再看優缺點。</x:v>
      </x:c>
      <x:c r="S114" s="35" t="str">
        <x:v>「南荷北西，後由鄭成功驅逐荷蘭」是「時序空間」的重點，但不能回答本題的「能源分類」。請回看：先看來源，再看優缺點。</x:v>
      </x:c>
      <x:c r="T114" s="35" t="str">
        <x:v>「比較雙方立場、目的與證據」是「多元觀點」的重點，但不能回答本題的「能源分類」。請回看：先看來源，再看優缺點。</x:v>
      </x:c>
      <x:c r="U114" s="35" t="str">
        <x:v>判斷正確</x:v>
      </x:c>
      <x:c r="V114" s="35" t="str">
        <x:v>單因推論</x:v>
      </x:c>
      <x:c r="W114" s="35" t="str">
        <x:v>證據不足</x:v>
      </x:c>
      <x:c r="X114" s="35" t="str">
        <x:v>忽略利害關係人</x:v>
      </x:c>
      <x:c r="Y114" s="35" t="str">
        <x:v>先看來源，再看優缺點。</x:v>
      </x:c>
      <x:c r="Z114" s="35" t="str">
        <x:v>分析資源、語言、組織與治理</x:v>
      </x:c>
      <x:c r="AA114" s="35" t="str">
        <x:v>臺灣是遷徙與交流的中繼點</x:v>
      </x:c>
      <x:c r="AB114" s="35" t="str">
        <x:v>A</x:v>
      </x:c>
      <x:c r="AC114" s="35" t="str">
        <x:v>這是判斷「能源分類」時要使用的依據。再生與非再生能源依來源補充性分類，後續還需比較穩定、成本與環境。</x:v>
      </x:c>
      <x:c r="AD114" s="35" t="str">
        <x:v>這是「族群衝突」的重點；本題要判斷的是「能源分類」，兩者不能互相代替。</x:v>
      </x:c>
      <x:c r="AE114" s="35" t="str">
        <x:v>這項知識屬於「位置與交流」，無法支持本題的「能源分類」判斷。</x:v>
      </x:c>
      <x:c r="AF114" s="35" t="str">
        <x:v>讀能源圖表時不要把設備和能源來源混為一談。</x:v>
      </x:c>
    </x:row>
    <x:row r="115" ht="76" customHeight="1">
      <x:c r="A115" s="35" t="str">
        <x:v>5B-U3</x:v>
      </x:c>
      <x:c r="B115" s="35" t="str">
        <x:v>五下</x:v>
      </x:c>
      <x:c r="C115" s="35" t="n">
        <x:v>3</x:v>
      </x:c>
      <x:c r="D115" s="35" t="str">
        <x:v>臺灣電力的發展</x:v>
      </x:c>
      <x:c r="E115" s="35" t="str">
        <x:v>5B-U3-O2</x:v>
      </x:c>
      <x:c r="F115" s="35" t="n">
        <x:v>6</x:v>
      </x:c>
      <x:c r="G115" s="35" t="str">
        <x:v>迷思修正</x:v>
      </x:c>
      <x:c r="H115" s="35" t="str">
        <x:v>有人說：「設備外觀是否漂亮」哪個答案能改正這個說法？</x:v>
      </x:c>
      <x:c r="I115" s="35" t="str">
        <x:v>依能源補充性與環境特性分類</x:v>
      </x:c>
      <x:c r="J115" s="35" t="str">
        <x:v>設計耐用可修產品並回收再製</x:v>
      </x:c>
      <x:c r="K115" s="35" t="str">
        <x:v>比較設置前後的發電、用電與環境</x:v>
      </x:c>
      <x:c r="L115" s="35" t="str">
        <x:v>訪談多方並搭配噪音與發電資料</x:v>
      </x:c>
      <x:c r="M115" s="35" t="str">
        <x:v>A</x:v>
      </x:c>
      <x:c r="N115" s="35" t="str">
        <x:v>依能源補充性與環境特性分類</x:v>
      </x:c>
      <x:c r="O115" s="35" t="str">
        <x:v>先看來源，再看優缺點。</x:v>
      </x:c>
      <x:c r="P115" s="35" t="str">
        <x:v>迷思「設備外觀是否漂亮」的問題，是它沒有處理「臺灣使用煤、天然氣、核能、風、光、水力與地熱發電」提供的關鍵條件。再生與非再生能源依來源補充性分類，後續還需比較穩定、成本與環境。</x:v>
      </x:c>
      <x:c r="Q115" s="35" t="str">
        <x:v>答對了；「依能源補充性與環境特性分類」同時保留了能源分類需要的範圍與限制。</x:v>
      </x:c>
      <x:c r="R115" s="35" t="str">
        <x:v>「設計耐用可修產品並回收再製」是「循環經濟」的重點，但不能回答本題的「能源分類」。請回看：先看來源，再看優缺點。</x:v>
      </x:c>
      <x:c r="S115" s="35" t="str">
        <x:v>「比較設置前後的發電、用電與環境」是「能源提問」的重點，但不能回答本題的「能源分類」。請回看：先看來源，再看優缺點。</x:v>
      </x:c>
      <x:c r="T115" s="35" t="str">
        <x:v>「訪談多方並搭配噪音與發電資料」是「多元觀點」的重點，但不能回答本題的「能源分類」。請回看：先看來源，再看優缺點。</x:v>
      </x:c>
      <x:c r="U115" s="35" t="str">
        <x:v>判斷正確</x:v>
      </x:c>
      <x:c r="V115" s="35" t="str">
        <x:v>證據不足</x:v>
      </x:c>
      <x:c r="W115" s="35" t="str">
        <x:v>忽略利害關係人</x:v>
      </x:c>
      <x:c r="X115" s="35" t="str">
        <x:v>把意見當證據</x:v>
      </x:c>
      <x:c r="Y115" s="35" t="str">
        <x:v>先看來源，再看優缺點。</x:v>
      </x:c>
      <x:c r="Z115" s="35" t="str">
        <x:v>保存證據，再循正式管道申訴</x:v>
      </x:c>
      <x:c r="AA115" s="35" t="str">
        <x:v>比較供應、動物、傳染病與廢水管理</x:v>
      </x:c>
      <x:c r="AB115" s="35" t="str">
        <x:v>A</x:v>
      </x:c>
      <x:c r="AC115" s="35" t="str">
        <x:v>這是判斷「能源分類」時要使用的依據。再生與非再生能源依來源補充性分類，後續還需比較穩定、成本與環境。</x:v>
      </x:c>
      <x:c r="AD115" s="35" t="str">
        <x:v>這是「消費權益」的重點；本題要判斷的是「能源分類」，兩者不能互相代替。</x:v>
      </x:c>
      <x:c r="AE115" s="35" t="str">
        <x:v>這項知識屬於「畜牧權衡」，無法支持本題的「能源分類」判斷。</x:v>
      </x:c>
      <x:c r="AF115" s="35" t="str">
        <x:v>讀能源圖表時不要把設備和能源來源混為一談。</x:v>
      </x:c>
    </x:row>
    <x:row r="116" ht="76" customHeight="1">
      <x:c r="A116" s="35" t="str">
        <x:v>5B-U3</x:v>
      </x:c>
      <x:c r="B116" s="35" t="str">
        <x:v>五下</x:v>
      </x:c>
      <x:c r="C116" s="35" t="n">
        <x:v>3</x:v>
      </x:c>
      <x:c r="D116" s="35" t="str">
        <x:v>臺灣電力的發展</x:v>
      </x:c>
      <x:c r="E116" s="35" t="str">
        <x:v>5B-U3-O3</x:v>
      </x:c>
      <x:c r="F116" s="35" t="n">
        <x:v>7</x:v>
      </x:c>
      <x:c r="G116" s="35" t="str">
        <x:v>情境判斷</x:v>
      </x:c>
      <x:c r="H116" s="35" t="str">
        <x:v>南部日照長、西部沿海風穩，臺灣又位於板塊交界。哪個答案最合理？</x:v>
      </x:c>
      <x:c r="I116" s="35" t="str">
        <x:v>依地理條件發展能源並評估影響</x:v>
      </x:c>
      <x:c r="J116" s="35" t="str">
        <x:v>任何能源在全島效率都一樣</x:v>
      </x:c>
      <x:c r="K116" s="35" t="str">
        <x:v>內陸無風地區優先設離岸風機</x:v>
      </x:c>
      <x:c r="L116" s="35" t="str">
        <x:v>板塊交界造成多山與地震</x:v>
      </x:c>
      <x:c r="M116" s="35" t="str">
        <x:v>A</x:v>
      </x:c>
      <x:c r="N116" s="35" t="str">
        <x:v>依地理條件發展能源並評估影響</x:v>
      </x:c>
      <x:c r="O116" s="35" t="str">
        <x:v>自然條件只是起點，不是全部決策。</x:v>
      </x:c>
      <x:c r="P116" s="35" t="str">
        <x:v>能源資源有空間差異，適地發展仍要納入技術、環境和輸配電限制。</x:v>
      </x:c>
      <x:c r="Q116" s="35" t="str">
        <x:v>證據吻合。選項「依地理條件發展能源並評估影響」能把地理配對的線索合理連起來。</x:v>
      </x:c>
      <x:c r="R116" s="35" t="str">
        <x:v>這裡混淆了條件與結論。提示：自然條件只是起點，不是全部決策。</x:v>
      </x:c>
      <x:c r="S116" s="35" t="str">
        <x:v>這項判斷忽略重要限制。請想想：自然條件只是起點，不是全部決策。</x:v>
      </x:c>
      <x:c r="T116" s="35" t="str">
        <x:v>「板塊交界造成多山與地震」是「板塊與地形」的重點，但不能回答本題的「地理配對」。請回看：自然條件只是起點，不是全部決策。</x:v>
      </x:c>
      <x:c r="U116" s="35" t="str">
        <x:v>判斷正確</x:v>
      </x:c>
      <x:c r="V116" s="35" t="str">
        <x:v>單因推論</x:v>
      </x:c>
      <x:c r="W116" s="35" t="str">
        <x:v>證據不足</x:v>
      </x:c>
      <x:c r="X116" s="35" t="str">
        <x:v>忽略利害關係人</x:v>
      </x:c>
      <x:c r="Y116" s="35" t="str">
        <x:v>自然條件只是起點，不是全部決策。</x:v>
      </x:c>
      <x:c r="Z116" s="35" t="str">
        <x:v>比較雙方立場、目的與證據</x:v>
      </x:c>
      <x:c r="AA116" s="35" t="str">
        <x:v>停止交易並改用官方查證與付款</x:v>
      </x:c>
      <x:c r="AB116" s="35" t="str">
        <x:v>A</x:v>
      </x:c>
      <x:c r="AC116" s="35" t="str">
        <x:v>這是判斷「地理配對」時要使用的依據。能源資源有空間差異，適地發展仍要納入技術、環境和輸配電限制。</x:v>
      </x:c>
      <x:c r="AD116" s="35" t="str">
        <x:v>這是「多元觀點」的重點；本題要判斷的是「地理配對」，兩者不能互相代替。</x:v>
      </x:c>
      <x:c r="AE116" s="35" t="str">
        <x:v>這項知識屬於「消費安全」，無法支持本題的「地理配對」判斷。</x:v>
      </x:c>
      <x:c r="AF116" s="35" t="str">
        <x:v>評估校園光電時量測日照與屋頂條件。</x:v>
      </x:c>
    </x:row>
    <x:row r="117" ht="76" customHeight="1">
      <x:c r="A117" s="35" t="str">
        <x:v>5B-U3</x:v>
      </x:c>
      <x:c r="B117" s="35" t="str">
        <x:v>五下</x:v>
      </x:c>
      <x:c r="C117" s="35" t="n">
        <x:v>3</x:v>
      </x:c>
      <x:c r="D117" s="35" t="str">
        <x:v>臺灣電力的發展</x:v>
      </x:c>
      <x:c r="E117" s="35" t="str">
        <x:v>5B-U3-O3</x:v>
      </x:c>
      <x:c r="F117" s="35" t="n">
        <x:v>8</x:v>
      </x:c>
      <x:c r="G117" s="35" t="str">
        <x:v>證據判讀</x:v>
      </x:c>
      <x:c r="H117" s="35" t="str">
        <x:v>哪項資料最能支持「依地理條件發展能源並評估影響」？</x:v>
      </x:c>
      <x:c r="I117" s="35" t="str">
        <x:v>和題目直接有關的資料</x:v>
      </x:c>
      <x:c r="J117" s="35" t="str">
        <x:v>季風影響航程與風險，但不保證安全</x:v>
      </x:c>
      <x:c r="K117" s="35" t="str">
        <x:v>合作修水圳，訂分水與維修規則</x:v>
      </x:c>
      <x:c r="L117" s="35" t="str">
        <x:v>生活、機會與政策共同影響移動</x:v>
      </x:c>
      <x:c r="M117" s="35" t="str">
        <x:v>A</x:v>
      </x:c>
      <x:c r="N117" s="35" t="str">
        <x:v>和題目直接有關的資料</x:v>
      </x:c>
      <x:c r="O117" s="35" t="str">
        <x:v>自然條件只是起點，不是全部決策。</x:v>
      </x:c>
      <x:c r="P117" s="35" t="str">
        <x:v>這題檢查的是證據能否直接支持「依地區發展光電、風電或地熱，並評估土地、生態與電網」，不是文字長短或票數。能源資源有空間差異，適地發展仍要納入技術、環境和輸配電限制。</x:v>
      </x:c>
      <x:c r="Q117" s="35" t="str">
        <x:v>答對了；「和題目直接有關的資料」同時保留了地理配對需要的範圍與限制。</x:v>
      </x:c>
      <x:c r="R117" s="35" t="str">
        <x:v>「季風影響航程與風險，但不保證安全」是「移民與季風」的重點，但不能回答本題的「地理配對」。請回看：自然條件只是起點，不是全部決策。</x:v>
      </x:c>
      <x:c r="S117" s="35" t="str">
        <x:v>「合作修水圳，訂分水與維修規則」是「水利開墾」的重點，但不能回答本題的「地理配對」。請回看：自然條件只是起點，不是全部決策。</x:v>
      </x:c>
      <x:c r="T117" s="35" t="str">
        <x:v>「生活、機會與政策共同影響移動」是「遷移原因」的重點，但不能回答本題的「地理配對」。請回看：自然條件只是起點，不是全部決策。</x:v>
      </x:c>
      <x:c r="U117" s="35" t="str">
        <x:v>判斷正確</x:v>
      </x:c>
      <x:c r="V117" s="35" t="str">
        <x:v>證據不足</x:v>
      </x:c>
      <x:c r="W117" s="35" t="str">
        <x:v>忽略利害關係人</x:v>
      </x:c>
      <x:c r="X117" s="35" t="str">
        <x:v>把意見當證據</x:v>
      </x:c>
      <x:c r="Y117" s="35" t="str">
        <x:v>自然條件只是起點，不是全部決策。</x:v>
      </x:c>
      <x:c r="Z117" s="35" t="str">
        <x:v>停止交易並改用官方查證與付款</x:v>
      </x:c>
      <x:c r="AA117" s="35" t="str">
        <x:v>規範與法律的形成及強制力不同</x:v>
      </x:c>
      <x:c r="AB117" s="35" t="str">
        <x:v>A</x:v>
      </x:c>
      <x:c r="AC117" s="35" t="str">
        <x:v>這是判斷「地理配對」時要使用的依據。能源資源有空間差異，適地發展仍要納入技術、環境和輸配電限制。</x:v>
      </x:c>
      <x:c r="AD117" s="35" t="str">
        <x:v>這是「消費安全」的重點；本題要判斷的是「地理配對」，兩者不能互相代替。</x:v>
      </x:c>
      <x:c r="AE117" s="35" t="str">
        <x:v>這項知識屬於「規範與法律」，無法支持本題的「地理配對」判斷。</x:v>
      </x:c>
      <x:c r="AF117" s="35" t="str">
        <x:v>評估校園光電時量測日照與屋頂條件。</x:v>
      </x:c>
    </x:row>
    <x:row r="118" ht="76" customHeight="1">
      <x:c r="A118" s="35" t="str">
        <x:v>5B-U3</x:v>
      </x:c>
      <x:c r="B118" s="35" t="str">
        <x:v>五下</x:v>
      </x:c>
      <x:c r="C118" s="35" t="n">
        <x:v>3</x:v>
      </x:c>
      <x:c r="D118" s="35" t="str">
        <x:v>臺灣電力的發展</x:v>
      </x:c>
      <x:c r="E118" s="35" t="str">
        <x:v>5B-U3-O3</x:v>
      </x:c>
      <x:c r="F118" s="35" t="n">
        <x:v>9</x:v>
      </x:c>
      <x:c r="G118" s="35" t="str">
        <x:v>迷思修正</x:v>
      </x:c>
      <x:c r="H118" s="35" t="str">
        <x:v>有人說：「任何能源在全島效率都一樣」哪個答案能改正這個說法？</x:v>
      </x:c>
      <x:c r="I118" s="35" t="str">
        <x:v>依地理條件發展能源並評估影響</x:v>
      </x:c>
      <x:c r="J118" s="35" t="str">
        <x:v>比較地形、風浪、泥沙與停靠條件</x:v>
      </x:c>
      <x:c r="K118" s="35" t="str">
        <x:v>遺物顯示可能已有農耕定居生活</x:v>
      </x:c>
      <x:c r="L118" s="35" t="str">
        <x:v>分族查資料，再比較文化異同</x:v>
      </x:c>
      <x:c r="M118" s="35" t="str">
        <x:v>A</x:v>
      </x:c>
      <x:c r="N118" s="35" t="str">
        <x:v>依地理條件發展能源並評估影響</x:v>
      </x:c>
      <x:c r="O118" s="35" t="str">
        <x:v>自然條件只是起點，不是全部決策。</x:v>
      </x:c>
      <x:c r="P118" s="35" t="str">
        <x:v>迷思「任何能源在全島效率都一樣」的問題，是它沒有處理「南部日照長、西部沿海風穩，臺灣又位於板塊交界」提供的關鍵條件。能源資源有空間差異，適地發展仍要納入技術、環境和輸配電限制。</x:v>
      </x:c>
      <x:c r="Q118" s="35" t="str">
        <x:v>你的判讀可被查證：依地理條件發展能源並評估影響。這正是地理配對要比較的核心。</x:v>
      </x:c>
      <x:c r="R118" s="35" t="str">
        <x:v>「比較地形、風浪、泥沙與停靠條件」是「海岸變遷」的重點，但不能回答本題的「地理配對」。請回看：自然條件只是起點，不是全部決策。</x:v>
      </x:c>
      <x:c r="S118" s="35" t="str">
        <x:v>「遺物顯示可能已有農耕定居生活」是「史前證據」的重點，但不能回答本題的「地理配對」。請回看：自然條件只是起點，不是全部決策。</x:v>
      </x:c>
      <x:c r="T118" s="35" t="str">
        <x:v>「分族查資料，再比較文化異同」是「文化多樣性」的重點，但不能回答本題的「地理配對」。請回看：自然條件只是起點，不是全部決策。</x:v>
      </x:c>
      <x:c r="U118" s="35" t="str">
        <x:v>判斷正確</x:v>
      </x:c>
      <x:c r="V118" s="35" t="str">
        <x:v>忽略利害關係人</x:v>
      </x:c>
      <x:c r="W118" s="35" t="str">
        <x:v>把意見當證據</x:v>
      </x:c>
      <x:c r="X118" s="35" t="str">
        <x:v>位置錯置</x:v>
      </x:c>
      <x:c r="Y118" s="35" t="str">
        <x:v>自然條件只是起點，不是全部決策。</x:v>
      </x:c>
      <x:c r="Z118" s="35" t="str">
        <x:v>選能看見臺灣、鄰國與航線的區域圖</x:v>
      </x:c>
      <x:c r="AA118" s="35" t="str">
        <x:v>結合檔案、觀察與多方訪談</x:v>
      </x:c>
      <x:c r="AB118" s="35" t="str">
        <x:v>A</x:v>
      </x:c>
      <x:c r="AC118" s="35" t="str">
        <x:v>這是判斷「地理配對」時要使用的依據。能源資源有空間差異，適地發展仍要納入技術、環境和輸配電限制。</x:v>
      </x:c>
      <x:c r="AD118" s="35" t="str">
        <x:v>這是「地圖尺度」的重點；本題要判斷的是「地理配對」，兩者不能互相代替。</x:v>
      </x:c>
      <x:c r="AE118" s="35" t="str">
        <x:v>這項知識屬於「多元資料」，無法支持本題的「地理配對」判斷。</x:v>
      </x:c>
      <x:c r="AF118" s="35" t="str">
        <x:v>評估校園光電時量測日照與屋頂條件。</x:v>
      </x:c>
    </x:row>
    <x:row r="119" ht="76" customHeight="1">
      <x:c r="A119" s="35" t="str">
        <x:v>5B-U3</x:v>
      </x:c>
      <x:c r="B119" s="35" t="str">
        <x:v>五下</x:v>
      </x:c>
      <x:c r="C119" s="35" t="n">
        <x:v>3</x:v>
      </x:c>
      <x:c r="D119" s="35" t="str">
        <x:v>臺灣電力的發展</x:v>
      </x:c>
      <x:c r="E119" s="35" t="str">
        <x:v>5B-U3-O4</x:v>
      </x:c>
      <x:c r="F119" s="35" t="n">
        <x:v>10</x:v>
      </x:c>
      <x:c r="G119" s="35" t="str">
        <x:v>情境判斷</x:v>
      </x:c>
      <x:c r="H119" s="35" t="str">
        <x:v>火力有排放、核能有事故與廢料、風光也有噪音土地及廢棄設備問題。哪個答案最合理？</x:v>
      </x:c>
      <x:c r="I119" s="35" t="str">
        <x:v>用共同指標比較各能源的代價</x:v>
      </x:c>
      <x:c r="J119" s="35" t="str">
        <x:v>再生能源一定完全無害</x:v>
      </x:c>
      <x:c r="K119" s="35" t="str">
        <x:v>只選發電量最大的能源即可</x:v>
      </x:c>
      <x:c r="L119" s="35" t="str">
        <x:v>比較供應、動物、傳染病與廢水管理</x:v>
      </x:c>
      <x:c r="M119" s="35" t="str">
        <x:v>A</x:v>
      </x:c>
      <x:c r="N119" s="35" t="str">
        <x:v>用共同指標比較各能源的代價</x:v>
      </x:c>
      <x:c r="O119" s="35" t="str">
        <x:v>綠色或穩定都不等於沒有代價。</x:v>
      </x:c>
      <x:c r="P119" s="35" t="str">
        <x:v>每種方式的優缺點不同，決策需比較供電、成本、環境、安全與公平。</x:v>
      </x:c>
      <x:c r="Q119" s="35" t="str">
        <x:v>答對了；「用共同指標比較各能源的代價」同時保留了能源代價需要的範圍與限制。</x:v>
      </x:c>
      <x:c r="R119" s="35" t="str">
        <x:v>這項判斷忽略重要限制。請想想：綠色或穩定都不等於沒有代價。</x:v>
      </x:c>
      <x:c r="S119" s="35" t="str">
        <x:v>焦點放錯了。請回看：綠色或穩定都不等於沒有代價。</x:v>
      </x:c>
      <x:c r="T119" s="35" t="str">
        <x:v>「比較供應、動物、傳染病與廢水管理」是「畜牧權衡」的重點，但不能回答本題的「能源代價」。請回看：綠色或穩定都不等於沒有代價。</x:v>
      </x:c>
      <x:c r="U119" s="35" t="str">
        <x:v>判斷正確</x:v>
      </x:c>
      <x:c r="V119" s="35" t="str">
        <x:v>證據不足</x:v>
      </x:c>
      <x:c r="W119" s="35" t="str">
        <x:v>忽略利害關係人</x:v>
      </x:c>
      <x:c r="X119" s="35" t="str">
        <x:v>把意見當證據</x:v>
      </x:c>
      <x:c r="Y119" s="35" t="str">
        <x:v>綠色或穩定都不等於沒有代價。</x:v>
      </x:c>
      <x:c r="Z119" s="35" t="str">
        <x:v>季風影響航程與風險，但不保證安全</x:v>
      </x:c>
      <x:c r="AA119" s="35" t="str">
        <x:v>比較對象、程度、證據與改善方法</x:v>
      </x:c>
      <x:c r="AB119" s="35" t="str">
        <x:v>A</x:v>
      </x:c>
      <x:c r="AC119" s="35" t="str">
        <x:v>這是判斷「能源代價」時要使用的依據。每種方式的優缺點不同，決策需比較供電、成本、環境、安全與公平。</x:v>
      </x:c>
      <x:c r="AD119" s="35" t="str">
        <x:v>這是「移民與季風」的重點；本題要判斷的是「能源代價」，兩者不能互相代替。</x:v>
      </x:c>
      <x:c r="AE119" s="35" t="str">
        <x:v>這項知識屬於「分析權衡」，無法支持本題的「能源代價」判斷。</x:v>
      </x:c>
      <x:c r="AF119" s="35" t="str">
        <x:v>小組選方案時公開比較指標與權重。</x:v>
      </x:c>
    </x:row>
    <x:row r="120" ht="76" customHeight="1">
      <x:c r="A120" s="35" t="str">
        <x:v>5B-U3</x:v>
      </x:c>
      <x:c r="B120" s="35" t="str">
        <x:v>五下</x:v>
      </x:c>
      <x:c r="C120" s="35" t="n">
        <x:v>3</x:v>
      </x:c>
      <x:c r="D120" s="35" t="str">
        <x:v>臺灣電力的發展</x:v>
      </x:c>
      <x:c r="E120" s="35" t="str">
        <x:v>5B-U3-O4</x:v>
      </x:c>
      <x:c r="F120" s="35" t="n">
        <x:v>11</x:v>
      </x:c>
      <x:c r="G120" s="35" t="str">
        <x:v>證據判讀</x:v>
      </x:c>
      <x:c r="H120" s="35" t="str">
        <x:v>哪項資料最能支持「用共同指標比較各能源的代價」？</x:v>
      </x:c>
      <x:c r="I120" s="35" t="str">
        <x:v>和題目直接有關的資料</x:v>
      </x:c>
      <x:c r="J120" s="35" t="str">
        <x:v>海防受重視，建省與建設強化治理</x:v>
      </x:c>
      <x:c r="K120" s="35" t="str">
        <x:v>停止交易並改用官方查證與付款</x:v>
      </x:c>
      <x:c r="L120" s="35" t="str">
        <x:v>保存證據，再循正式管道申訴</x:v>
      </x:c>
      <x:c r="M120" s="35" t="str">
        <x:v>A</x:v>
      </x:c>
      <x:c r="N120" s="35" t="str">
        <x:v>和題目直接有關的資料</x:v>
      </x:c>
      <x:c r="O120" s="35" t="str">
        <x:v>綠色或穩定都不等於沒有代價。</x:v>
      </x:c>
      <x:c r="P120" s="35" t="str">
        <x:v>這題檢查的是證據能否直接支持「沒有零代價能源，應以共同指標比較並設法降低風險」，不是文字長短或票數。每種方式的優缺點不同，決策需比較供電、成本、環境、安全與公平。</x:v>
      </x:c>
      <x:c r="Q120" s="35" t="str">
        <x:v>你的判讀可被查證：和題目直接有關的資料。這正是能源代價要比較的核心。</x:v>
      </x:c>
      <x:c r="R120" s="35" t="str">
        <x:v>「海防受重視，建省與建設強化治理」是「清法戰爭與建省」的重點，但不能回答本題的「能源代價」。請回看：綠色或穩定都不等於沒有代價。</x:v>
      </x:c>
      <x:c r="S120" s="35" t="str">
        <x:v>「停止交易並改用官方查證與付款」是「消費安全」的重點，但不能回答本題的「能源代價」。請回看：綠色或穩定都不等於沒有代價。</x:v>
      </x:c>
      <x:c r="T120" s="35" t="str">
        <x:v>「保存證據，再循正式管道申訴」是「消費權益」的重點，但不能回答本題的「能源代價」。請回看：綠色或穩定都不等於沒有代價。</x:v>
      </x:c>
      <x:c r="U120" s="35" t="str">
        <x:v>判斷正確</x:v>
      </x:c>
      <x:c r="V120" s="35" t="str">
        <x:v>忽略利害關係人</x:v>
      </x:c>
      <x:c r="W120" s="35" t="str">
        <x:v>把意見當證據</x:v>
      </x:c>
      <x:c r="X120" s="35" t="str">
        <x:v>位置錯置</x:v>
      </x:c>
      <x:c r="Y120" s="35" t="str">
        <x:v>綠色或穩定都不等於沒有代價。</x:v>
      </x:c>
      <x:c r="Z120" s="35" t="str">
        <x:v>比較對象、程度、證據與改善方法</x:v>
      </x:c>
      <x:c r="AA120" s="35" t="str">
        <x:v>長期追蹤保存、參與、就業與環境</x:v>
      </x:c>
      <x:c r="AB120" s="35" t="str">
        <x:v>A</x:v>
      </x:c>
      <x:c r="AC120" s="35" t="str">
        <x:v>這是判斷「能源代價」時要使用的依據。每種方式的優缺點不同，決策需比較供電、成本、環境、安全與公平。</x:v>
      </x:c>
      <x:c r="AD120" s="35" t="str">
        <x:v>這是「分析權衡」的重點；本題要判斷的是「能源代價」，兩者不能互相代替。</x:v>
      </x:c>
      <x:c r="AE120" s="35" t="str">
        <x:v>這項知識屬於「地方轉型」，無法支持本題的「能源代價」判斷。</x:v>
      </x:c>
      <x:c r="AF120" s="35" t="str">
        <x:v>小組選方案時公開比較指標與權重。</x:v>
      </x:c>
    </x:row>
    <x:row r="121" ht="76" customHeight="1">
      <x:c r="A121" s="35" t="str">
        <x:v>5B-U3</x:v>
      </x:c>
      <x:c r="B121" s="35" t="str">
        <x:v>五下</x:v>
      </x:c>
      <x:c r="C121" s="35" t="n">
        <x:v>3</x:v>
      </x:c>
      <x:c r="D121" s="35" t="str">
        <x:v>臺灣電力的發展</x:v>
      </x:c>
      <x:c r="E121" s="35" t="str">
        <x:v>5B-U3-O4</x:v>
      </x:c>
      <x:c r="F121" s="35" t="n">
        <x:v>12</x:v>
      </x:c>
      <x:c r="G121" s="35" t="str">
        <x:v>迷思修正</x:v>
      </x:c>
      <x:c r="H121" s="35" t="str">
        <x:v>有人說：「再生能源一定完全無害」哪個答案能改正這個說法？</x:v>
      </x:c>
      <x:c r="I121" s="35" t="str">
        <x:v>用共同指標比較各能源的代價</x:v>
      </x:c>
      <x:c r="J121" s="35" t="str">
        <x:v>設禁漁期、尺寸限制並協助轉型</x:v>
      </x:c>
      <x:c r="K121" s="35" t="str">
        <x:v>查明進口木材是否來自永續來源</x:v>
      </x:c>
      <x:c r="L121" s="35" t="str">
        <x:v>長期追蹤保存、參與、就業與環境</x:v>
      </x:c>
      <x:c r="M121" s="35" t="str">
        <x:v>A</x:v>
      </x:c>
      <x:c r="N121" s="35" t="str">
        <x:v>用共同指標比較各能源的代價</x:v>
      </x:c>
      <x:c r="O121" s="35" t="str">
        <x:v>綠色或穩定都不等於沒有代價。</x:v>
      </x:c>
      <x:c r="P121" s="35" t="str">
        <x:v>迷思「再生能源一定完全無害」的問題，是它沒有處理「火力有排放、核能有事故與廢料、風光也有噪音土地及廢棄設備問題」提供的關鍵條件。每種方式的優缺點不同，決策需比較供電、成本、環境、安全與公平。</x:v>
      </x:c>
      <x:c r="Q121" s="35" t="str">
        <x:v>判斷精準。「用共同指標比較各能源的代價」直接回應能源代價，推論沒有超過資料。</x:v>
      </x:c>
      <x:c r="R121" s="35" t="str">
        <x:v>「設禁漁期、尺寸限制並協助轉型」是「永續漁業」的重點，但不能回答本題的「能源代價」。請回看：綠色或穩定都不等於沒有代價。</x:v>
      </x:c>
      <x:c r="S121" s="35" t="str">
        <x:v>「查明進口木材是否來自永續來源」是「森林供應鏈」的重點，但不能回答本題的「能源代價」。請回看：綠色或穩定都不等於沒有代價。</x:v>
      </x:c>
      <x:c r="T121" s="35" t="str">
        <x:v>「長期追蹤保存、參與、就業與環境」是「地方轉型」的重點，但不能回答本題的「能源代價」。請回看：綠色或穩定都不等於沒有代價。</x:v>
      </x:c>
      <x:c r="U121" s="35" t="str">
        <x:v>判斷正確</x:v>
      </x:c>
      <x:c r="V121" s="35" t="str">
        <x:v>把意見當證據</x:v>
      </x:c>
      <x:c r="W121" s="35" t="str">
        <x:v>位置錯置</x:v>
      </x:c>
      <x:c r="X121" s="35" t="str">
        <x:v>忽略時空脈絡</x:v>
      </x:c>
      <x:c r="Y121" s="35" t="str">
        <x:v>綠色或穩定都不等於沒有代價。</x:v>
      </x:c>
      <x:c r="Z121" s="35" t="str">
        <x:v>規範可調整，互助目的仍保留</x:v>
      </x:c>
      <x:c r="AA121" s="35" t="str">
        <x:v>分析資源、語言、組織與治理</x:v>
      </x:c>
      <x:c r="AB121" s="35" t="str">
        <x:v>A</x:v>
      </x:c>
      <x:c r="AC121" s="35" t="str">
        <x:v>這是判斷「能源代價」時要使用的依據。每種方式的優缺點不同，決策需比較供電、成本、環境、安全與公平。</x:v>
      </x:c>
      <x:c r="AD121" s="35" t="str">
        <x:v>這是「規範變遷」的重點；本題要判斷的是「能源代價」，兩者不能互相代替。</x:v>
      </x:c>
      <x:c r="AE121" s="35" t="str">
        <x:v>這項知識屬於「族群衝突」，無法支持本題的「能源代價」判斷。</x:v>
      </x:c>
      <x:c r="AF121" s="35" t="str">
        <x:v>小組選方案時公開比較指標與權重。</x:v>
      </x:c>
    </x:row>
    <x:row r="122" ht="76" customHeight="1">
      <x:c r="A122" s="35" t="str">
        <x:v>5B-U3</x:v>
      </x:c>
      <x:c r="B122" s="35" t="str">
        <x:v>五下</x:v>
      </x:c>
      <x:c r="C122" s="35" t="n">
        <x:v>3</x:v>
      </x:c>
      <x:c r="D122" s="35" t="str">
        <x:v>臺灣電力的發展</x:v>
      </x:c>
      <x:c r="E122" s="35" t="str">
        <x:v>5B-U3-O5</x:v>
      </x:c>
      <x:c r="F122" s="35" t="n">
        <x:v>13</x:v>
      </x:c>
      <x:c r="G122" s="35" t="str">
        <x:v>情境判斷</x:v>
      </x:c>
      <x:c r="H122" s="35" t="str">
        <x:v>全臺享受用電，但部分社區集中承擔空污、噪音或核廢料。哪個答案最合理？</x:v>
      </x:c>
      <x:c r="I122" s="35" t="str">
        <x:v>風險分配與居民參與需要公平</x:v>
      </x:c>
      <x:c r="J122" s="35" t="str">
        <x:v>只要補償就不需安全管理</x:v>
      </x:c>
      <x:c r="K122" s="35" t="str">
        <x:v>多數人支持便可忽略少數權益</x:v>
      </x:c>
      <x:c r="L122" s="35" t="str">
        <x:v>聚焦特定海岸、時間與不同觀點</x:v>
      </x:c>
      <x:c r="M122" s="35" t="str">
        <x:v>A</x:v>
      </x:c>
      <x:c r="N122" s="35" t="str">
        <x:v>風險分配與居民參與需要公平</x:v>
      </x:c>
      <x:c r="O122" s="35" t="str">
        <x:v>問誰受益、誰承擔、誰能決定。</x:v>
      </x:c>
      <x:c r="P122" s="35" t="str">
        <x:v>能源政策不只算總利益，也要處理風險落在誰身上、誰有決定權與長期責任。</x:v>
      </x:c>
      <x:c r="Q122" s="35" t="str">
        <x:v>你的判讀可被查證：風險分配與居民參與需要公平。這正是環境正義要比較的核心。</x:v>
      </x:c>
      <x:c r="R122" s="35" t="str">
        <x:v>焦點放錯了。請回看：問誰受益、誰承擔、誰能決定。</x:v>
      </x:c>
      <x:c r="S122" s="35" t="str">
        <x:v>這項推論缺少證據。請確認：問誰受益、誰承擔、誰能決定。</x:v>
      </x:c>
      <x:c r="T122" s="35" t="str">
        <x:v>「聚焦特定海岸、時間與不同觀點」是「問題形成」的重點，但不能回答本題的「環境正義」。請回看：問誰受益、誰承擔、誰能決定。</x:v>
      </x:c>
      <x:c r="U122" s="35" t="str">
        <x:v>判斷正確</x:v>
      </x:c>
      <x:c r="V122" s="35" t="str">
        <x:v>忽略利害關係人</x:v>
      </x:c>
      <x:c r="W122" s="35" t="str">
        <x:v>把意見當證據</x:v>
      </x:c>
      <x:c r="X122" s="35" t="str">
        <x:v>位置錯置</x:v>
      </x:c>
      <x:c r="Y122" s="35" t="str">
        <x:v>問誰受益、誰承擔、誰能決定。</x:v>
      </x:c>
      <x:c r="Z122" s="35" t="str">
        <x:v>比較具體貢獻、限制與在地回應</x:v>
      </x:c>
      <x:c r="AA122" s="35" t="str">
        <x:v>遺物顯示可能已有農耕定居生活</x:v>
      </x:c>
      <x:c r="AB122" s="35" t="str">
        <x:v>A</x:v>
      </x:c>
      <x:c r="AC122" s="35" t="str">
        <x:v>這是判斷「環境正義」時要使用的依據。能源政策不只算總利益，也要處理風險落在誰身上、誰有決定權與長期責任。</x:v>
      </x:c>
      <x:c r="AD122" s="35" t="str">
        <x:v>這是「人物與交流」的重點；本題要判斷的是「環境正義」，兩者不能互相代替。</x:v>
      </x:c>
      <x:c r="AE122" s="35" t="str">
        <x:v>這項知識屬於「史前證據」，無法支持本題的「環境正義」判斷。</x:v>
      </x:c>
      <x:c r="AF122" s="35" t="str">
        <x:v>設施設址要有監測、參與與補救機制。</x:v>
      </x:c>
    </x:row>
    <x:row r="123" ht="76" customHeight="1">
      <x:c r="A123" s="35" t="str">
        <x:v>5B-U3</x:v>
      </x:c>
      <x:c r="B123" s="35" t="str">
        <x:v>五下</x:v>
      </x:c>
      <x:c r="C123" s="35" t="n">
        <x:v>3</x:v>
      </x:c>
      <x:c r="D123" s="35" t="str">
        <x:v>臺灣電力的發展</x:v>
      </x:c>
      <x:c r="E123" s="35" t="str">
        <x:v>5B-U3-O5</x:v>
      </x:c>
      <x:c r="F123" s="35" t="n">
        <x:v>14</x:v>
      </x:c>
      <x:c r="G123" s="35" t="str">
        <x:v>證據判讀</x:v>
      </x:c>
      <x:c r="H123" s="35" t="str">
        <x:v>哪項資料最能支持「風險分配與居民參與需要公平」？</x:v>
      </x:c>
      <x:c r="I123" s="35" t="str">
        <x:v>和題目直接有關的資料</x:v>
      </x:c>
      <x:c r="J123" s="35" t="str">
        <x:v>用共同目標與相同標準調整方案</x:v>
      </x:c>
      <x:c r="K123" s="35" t="str">
        <x:v>設基準與措施，四週後同指標比較</x:v>
      </x:c>
      <x:c r="L123" s="35" t="str">
        <x:v>臺灣是遷徙與交流的中繼點</x:v>
      </x:c>
      <x:c r="M123" s="35" t="str">
        <x:v>A</x:v>
      </x:c>
      <x:c r="N123" s="35" t="str">
        <x:v>和題目直接有關的資料</x:v>
      </x:c>
      <x:c r="O123" s="35" t="str">
        <x:v>問誰受益、誰承擔、誰能決定。</x:v>
      </x:c>
      <x:c r="P123" s="35" t="str">
        <x:v>這題檢查的是證據能否直接支持「利益與風險分配不均，且受影響居民需要知情和參與決策」，不是文字長短或票數。能源政策不只算總利益，也要處理風險落在誰身上、誰有決定權與長期責任。</x:v>
      </x:c>
      <x:c r="Q123" s="35" t="str">
        <x:v>判斷精準。「和題目直接有關的資料」直接回應環境正義，推論沒有超過資料。</x:v>
      </x:c>
      <x:c r="R123" s="35" t="str">
        <x:v>「用共同目標與相同標準調整方案」是「共識與程序」的重點，但不能回答本題的「環境正義」。請回看：問誰受益、誰承擔、誰能決定。</x:v>
      </x:c>
      <x:c r="S123" s="35" t="str">
        <x:v>「設基準與措施，四週後同指標比較」是「行動評估」的重點，但不能回答本題的「環境正義」。請回看：問誰受益、誰承擔、誰能決定。</x:v>
      </x:c>
      <x:c r="T123" s="35" t="str">
        <x:v>「臺灣是遷徙與交流的中繼點」是「位置與交流」的重點，但不能回答本題的「環境正義」。請回看：問誰受益、誰承擔、誰能決定。</x:v>
      </x:c>
      <x:c r="U123" s="35" t="str">
        <x:v>判斷正確</x:v>
      </x:c>
      <x:c r="V123" s="35" t="str">
        <x:v>把意見當證據</x:v>
      </x:c>
      <x:c r="W123" s="35" t="str">
        <x:v>位置錯置</x:v>
      </x:c>
      <x:c r="X123" s="35" t="str">
        <x:v>忽略時空脈絡</x:v>
      </x:c>
      <x:c r="Y123" s="35" t="str">
        <x:v>問誰受益、誰承擔、誰能決定。</x:v>
      </x:c>
      <x:c r="Z123" s="35" t="str">
        <x:v>分族查資料，再比較文化異同</x:v>
      </x:c>
      <x:c r="AA123" s="35" t="str">
        <x:v>核對單位、時間、尺度與原始數值</x:v>
      </x:c>
      <x:c r="AB123" s="35" t="str">
        <x:v>A</x:v>
      </x:c>
      <x:c r="AC123" s="35" t="str">
        <x:v>這是判斷「環境正義」時要使用的依據。能源政策不只算總利益，也要處理風險落在誰身上、誰有決定權與長期責任。</x:v>
      </x:c>
      <x:c r="AD123" s="35" t="str">
        <x:v>這是「文化多樣性」的重點；本題要判斷的是「環境正義」，兩者不能互相代替。</x:v>
      </x:c>
      <x:c r="AE123" s="35" t="str">
        <x:v>這項知識屬於「圖表判讀」，無法支持本題的「環境正義」判斷。</x:v>
      </x:c>
      <x:c r="AF123" s="35" t="str">
        <x:v>設施設址要有監測、參與與補救機制。</x:v>
      </x:c>
    </x:row>
    <x:row r="124" ht="76" customHeight="1">
      <x:c r="A124" s="35" t="str">
        <x:v>5B-U3</x:v>
      </x:c>
      <x:c r="B124" s="35" t="str">
        <x:v>五下</x:v>
      </x:c>
      <x:c r="C124" s="35" t="n">
        <x:v>3</x:v>
      </x:c>
      <x:c r="D124" s="35" t="str">
        <x:v>臺灣電力的發展</x:v>
      </x:c>
      <x:c r="E124" s="35" t="str">
        <x:v>5B-U3-O5</x:v>
      </x:c>
      <x:c r="F124" s="35" t="n">
        <x:v>15</x:v>
      </x:c>
      <x:c r="G124" s="35" t="str">
        <x:v>迷思修正</x:v>
      </x:c>
      <x:c r="H124" s="35" t="str">
        <x:v>有人說：「只要補償就不需安全管理」哪個答案能改正這個說法？</x:v>
      </x:c>
      <x:c r="I124" s="35" t="str">
        <x:v>風險分配與居民參與需要公平</x:v>
      </x:c>
      <x:c r="J124" s="35" t="str">
        <x:v>結合檔案、觀察與多方訪談</x:v>
      </x:c>
      <x:c r="K124" s="35" t="str">
        <x:v>核對單位、時間、尺度與原始數值</x:v>
      </x:c>
      <x:c r="L124" s="35" t="str">
        <x:v>限定結論範圍並說明調查限制</x:v>
      </x:c>
      <x:c r="M124" s="35" t="str">
        <x:v>A</x:v>
      </x:c>
      <x:c r="N124" s="35" t="str">
        <x:v>風險分配與居民參與需要公平</x:v>
      </x:c>
      <x:c r="O124" s="35" t="str">
        <x:v>問誰受益、誰承擔、誰能決定。</x:v>
      </x:c>
      <x:c r="P124" s="35" t="str">
        <x:v>迷思「只要補償就不需安全管理」的問題，是它沒有處理「全臺享受用電，但部分社區集中承擔空污、噪音或核廢料」提供的關鍵條件。能源政策不只算總利益，也要處理風險落在誰身上、誰有決定權與長期責任。</x:v>
      </x:c>
      <x:c r="Q124" s="35" t="str">
        <x:v>這項選擇成立：風險分配與居民參與需要公平。它抓住環境正義的關鍵條件。</x:v>
      </x:c>
      <x:c r="R124" s="35" t="str">
        <x:v>「結合檔案、觀察與多方訪談」是「多元資料」的重點，但不能回答本題的「環境正義」。請回看：問誰受益、誰承擔、誰能決定。</x:v>
      </x:c>
      <x:c r="S124" s="35" t="str">
        <x:v>「核對單位、時間、尺度與原始數值」是「圖表判讀」的重點，但不能回答本題的「環境正義」。請回看：問誰受益、誰承擔、誰能決定。</x:v>
      </x:c>
      <x:c r="T124" s="35" t="str">
        <x:v>「限定結論範圍並說明調查限制」是「結論界線」的重點，但不能回答本題的「環境正義」。請回看：問誰受益、誰承擔、誰能決定。</x:v>
      </x:c>
      <x:c r="U124" s="35" t="str">
        <x:v>判斷正確</x:v>
      </x:c>
      <x:c r="V124" s="35" t="str">
        <x:v>位置錯置</x:v>
      </x:c>
      <x:c r="W124" s="35" t="str">
        <x:v>忽略時空脈絡</x:v>
      </x:c>
      <x:c r="X124" s="35" t="str">
        <x:v>過度概括</x:v>
      </x:c>
      <x:c r="Y124" s="35" t="str">
        <x:v>問誰受益、誰承擔、誰能決定。</x:v>
      </x:c>
      <x:c r="Z124" s="35" t="str">
        <x:v>泥沙堆積使船難進出，港口轉移</x:v>
      </x:c>
      <x:c r="AA124" s="35" t="str">
        <x:v>停止交易並改用官方查證與付款</x:v>
      </x:c>
      <x:c r="AB124" s="35" t="str">
        <x:v>A</x:v>
      </x:c>
      <x:c r="AC124" s="35" t="str">
        <x:v>這是判斷「環境正義」時要使用的依據。能源政策不只算總利益，也要處理風險落在誰身上、誰有決定權與長期責任。</x:v>
      </x:c>
      <x:c r="AD124" s="35" t="str">
        <x:v>這是「潟湖與港口」的重點；本題要判斷的是「環境正義」，兩者不能互相代替。</x:v>
      </x:c>
      <x:c r="AE124" s="35" t="str">
        <x:v>這項知識屬於「消費安全」，無法支持本題的「環境正義」判斷。</x:v>
      </x:c>
      <x:c r="AF124" s="35" t="str">
        <x:v>設施設址要有監測、參與與補救機制。</x:v>
      </x:c>
    </x:row>
    <x:row r="125" ht="76" customHeight="1">
      <x:c r="A125" s="34" t="str">
        <x:v>5B-U4</x:v>
      </x:c>
      <x:c r="B125" s="34" t="str">
        <x:v>五下</x:v>
      </x:c>
      <x:c r="C125" s="34" t="n">
        <x:v>4</x:v>
      </x:c>
      <x:c r="D125" s="34" t="str">
        <x:v>經濟與生活</x:v>
      </x:c>
      <x:c r="E125" s="34" t="str">
        <x:v>5B-U4-O1</x:v>
      </x:c>
      <x:c r="F125" s="34" t="n">
        <x:v>1</x:v>
      </x:c>
      <x:c r="G125" s="34" t="str">
        <x:v>情境判斷</x:v>
      </x:c>
      <x:c r="H125" s="34" t="str">
        <x:v>網路商品遠低於市價，賣家催促私下轉帳並傳陌生連結。哪個答案最合理？</x:v>
      </x:c>
      <x:c r="I125" s="34" t="str">
        <x:v>停止交易並改用官方查證與付款</x:v>
      </x:c>
      <x:c r="J125" s="34" t="str">
        <x:v>立刻轉帳避免錯過</x:v>
      </x:c>
      <x:c r="K125" s="34" t="str">
        <x:v>提供密碼和驗證碼證明誠意</x:v>
      </x:c>
      <x:c r="L125" s="34" t="str">
        <x:v>選能看見臺灣、鄰國與航線的區域圖</x:v>
      </x:c>
      <x:c r="M125" s="34" t="str">
        <x:v>A</x:v>
      </x:c>
      <x:c r="N125" s="34" t="str">
        <x:v>停止交易並改用官方查證與付款</x:v>
      </x:c>
      <x:c r="O125" s="34" t="str">
        <x:v>把可疑訊號和正式查證管道配對。</x:v>
      </x:c>
      <x:c r="P125" s="34" t="str">
        <x:v>異常低價、催促和脫離平台是高風險訊號；查證與受保障付款能降低詐騙。</x:v>
      </x:c>
      <x:c r="Q125" s="34" t="str">
        <x:v>判斷精準。「停止交易並改用官方查證與付款」直接回應消費安全，推論沒有超過資料。</x:v>
      </x:c>
      <x:c r="R125" s="34" t="str">
        <x:v>這項推論缺少證據。請確認：把可疑訊號和正式查證管道配對。</x:v>
      </x:c>
      <x:c r="S125" s="34" t="str">
        <x:v>選項和題意關係較弱。提示：把可疑訊號和正式查證管道配對。</x:v>
      </x:c>
      <x:c r="T125" s="34" t="str">
        <x:v>「選能看見臺灣、鄰國與航線的區域圖」是「地圖尺度」的重點，但不能回答本題的「消費安全」。請回看：把可疑訊號和正式查證管道配對。</x:v>
      </x:c>
      <x:c r="U125" s="34" t="str">
        <x:v>判斷正確</x:v>
      </x:c>
      <x:c r="V125" s="34" t="str">
        <x:v>忽略時空脈絡</x:v>
      </x:c>
      <x:c r="W125" s="34" t="str">
        <x:v>過度概括</x:v>
      </x:c>
      <x:c r="X125" s="34" t="str">
        <x:v>單因推論</x:v>
      </x:c>
      <x:c r="Y125" s="34" t="str">
        <x:v>把可疑訊號和正式查證管道配對。</x:v>
      </x:c>
      <x:c r="Z125" s="34" t="str">
        <x:v>南荷北西，後由鄭成功驅逐荷蘭</x:v>
      </x:c>
      <x:c r="AA125" s="34" t="str">
        <x:v>海防受重視，建省與建設強化治理</x:v>
      </x:c>
      <x:c r="AB125" s="34" t="str">
        <x:v>A</x:v>
      </x:c>
      <x:c r="AC125" s="34" t="str">
        <x:v>這是判斷「消費安全」時要使用的依據。異常低價、催促和脫離平台是高風險訊號；查證與受保障付款能降低詐騙。</x:v>
      </x:c>
      <x:c r="AD125" s="34" t="str">
        <x:v>這是「時序空間」的重點；本題要判斷的是「消費安全」，兩者不能互相代替。</x:v>
      </x:c>
      <x:c r="AE125" s="34" t="str">
        <x:v>這項知識屬於「清法戰爭與建省」，無法支持本題的「消費安全」判斷。</x:v>
      </x:c>
      <x:c r="AF125" s="34" t="str">
        <x:v>包裹簡訊要從官方 App 查，不點訊息連結。</x:v>
      </x:c>
    </x:row>
    <x:row r="126" ht="76" customHeight="1">
      <x:c r="A126" s="34" t="str">
        <x:v>5B-U4</x:v>
      </x:c>
      <x:c r="B126" s="34" t="str">
        <x:v>五下</x:v>
      </x:c>
      <x:c r="C126" s="34" t="n">
        <x:v>4</x:v>
      </x:c>
      <x:c r="D126" s="34" t="str">
        <x:v>經濟與生活</x:v>
      </x:c>
      <x:c r="E126" s="34" t="str">
        <x:v>5B-U4-O1</x:v>
      </x:c>
      <x:c r="F126" s="34" t="n">
        <x:v>2</x:v>
      </x:c>
      <x:c r="G126" s="34" t="str">
        <x:v>證據判讀</x:v>
      </x:c>
      <x:c r="H126" s="34" t="str">
        <x:v>哪項資料最能支持「停止交易並改用官方查證與付款」？</x:v>
      </x:c>
      <x:c r="I126" s="34" t="str">
        <x:v>和題目直接有關的資料</x:v>
      </x:c>
      <x:c r="J126" s="34" t="str">
        <x:v>查紀錄、調方法，再用同指標測量</x:v>
      </x:c>
      <x:c r="K126" s="34" t="str">
        <x:v>季風影響航程與風險，但不保證安全</x:v>
      </x:c>
      <x:c r="L126" s="34" t="str">
        <x:v>合作修水圳，訂分水與維修規則</x:v>
      </x:c>
      <x:c r="M126" s="34" t="str">
        <x:v>A</x:v>
      </x:c>
      <x:c r="N126" s="34" t="str">
        <x:v>和題目直接有關的資料</x:v>
      </x:c>
      <x:c r="O126" s="34" t="str">
        <x:v>把可疑訊號和正式查證管道配對。</x:v>
      </x:c>
      <x:c r="P126" s="34" t="str">
        <x:v>這題檢查的是證據能否直接支持「停止交易，從官方管道查訂單與評價，使用有保障的付款」，不是文字長短或票數。異常低價、催促和脫離平台是高風險訊號；查證與受保障付款能降低詐騙。</x:v>
      </x:c>
      <x:c r="Q126" s="34" t="str">
        <x:v>這項選擇成立：和題目直接有關的資料。它抓住消費安全的關鍵條件。</x:v>
      </x:c>
      <x:c r="R126" s="34" t="str">
        <x:v>「查紀錄、調方法，再用同指標測量」是「行動省思」的重點，但不能回答本題的「消費安全」。請回看：把可疑訊號和正式查證管道配對。</x:v>
      </x:c>
      <x:c r="S126" s="34" t="str">
        <x:v>「季風影響航程與風險，但不保證安全」是「移民與季風」的重點，但不能回答本題的「消費安全」。請回看：把可疑訊號和正式查證管道配對。</x:v>
      </x:c>
      <x:c r="T126" s="34" t="str">
        <x:v>「合作修水圳，訂分水與維修規則」是「水利開墾」的重點，但不能回答本題的「消費安全」。請回看：把可疑訊號和正式查證管道配對。</x:v>
      </x:c>
      <x:c r="U126" s="34" t="str">
        <x:v>判斷正確</x:v>
      </x:c>
      <x:c r="V126" s="34" t="str">
        <x:v>過度概括</x:v>
      </x:c>
      <x:c r="W126" s="34" t="str">
        <x:v>單因推論</x:v>
      </x:c>
      <x:c r="X126" s="34" t="str">
        <x:v>證據不足</x:v>
      </x:c>
      <x:c r="Y126" s="34" t="str">
        <x:v>把可疑訊號和正式查證管道配對。</x:v>
      </x:c>
      <x:c r="Z126" s="34" t="str">
        <x:v>海防受重視，建省與建設強化治理</x:v>
      </x:c>
      <x:c r="AA126" s="34" t="str">
        <x:v>環境、季節與歷史共同影響生活</x:v>
      </x:c>
      <x:c r="AB126" s="34" t="str">
        <x:v>A</x:v>
      </x:c>
      <x:c r="AC126" s="34" t="str">
        <x:v>這是判斷「消費安全」時要使用的依據。異常低價、催促和脫離平台是高風險訊號；查證與受保障付款能降低詐騙。</x:v>
      </x:c>
      <x:c r="AD126" s="34" t="str">
        <x:v>這是「清法戰爭與建省」的重點；本題要判斷的是「消費安全」，兩者不能互相代替。</x:v>
      </x:c>
      <x:c r="AE126" s="34" t="str">
        <x:v>這項知識屬於「環境與生活」，無法支持本題的「消費安全」判斷。</x:v>
      </x:c>
      <x:c r="AF126" s="34" t="str">
        <x:v>包裹簡訊要從官方 App 查，不點訊息連結。</x:v>
      </x:c>
    </x:row>
    <x:row r="127" ht="76" customHeight="1">
      <x:c r="A127" s="34" t="str">
        <x:v>5B-U4</x:v>
      </x:c>
      <x:c r="B127" s="34" t="str">
        <x:v>五下</x:v>
      </x:c>
      <x:c r="C127" s="34" t="n">
        <x:v>4</x:v>
      </x:c>
      <x:c r="D127" s="34" t="str">
        <x:v>經濟與生活</x:v>
      </x:c>
      <x:c r="E127" s="34" t="str">
        <x:v>5B-U4-O1</x:v>
      </x:c>
      <x:c r="F127" s="34" t="n">
        <x:v>3</x:v>
      </x:c>
      <x:c r="G127" s="34" t="str">
        <x:v>迷思修正</x:v>
      </x:c>
      <x:c r="H127" s="34" t="str">
        <x:v>有人說：「立刻轉帳避免錯過」哪個答案能改正這個說法？</x:v>
      </x:c>
      <x:c r="I127" s="34" t="str">
        <x:v>停止交易並改用官方查證與付款</x:v>
      </x:c>
      <x:c r="J127" s="34" t="str">
        <x:v>板塊交界造成多山與地震</x:v>
      </x:c>
      <x:c r="K127" s="34" t="str">
        <x:v>比較地形、風浪、泥沙與停靠條件</x:v>
      </x:c>
      <x:c r="L127" s="34" t="str">
        <x:v>遺物顯示可能已有農耕定居生活</x:v>
      </x:c>
      <x:c r="M127" s="34" t="str">
        <x:v>A</x:v>
      </x:c>
      <x:c r="N127" s="34" t="str">
        <x:v>停止交易並改用官方查證與付款</x:v>
      </x:c>
      <x:c r="O127" s="34" t="str">
        <x:v>把可疑訊號和正式查證管道配對。</x:v>
      </x:c>
      <x:c r="P127" s="34" t="str">
        <x:v>迷思「立刻轉帳避免錯過」的問題，是它沒有處理「網路商品遠低於市價，賣家催促私下轉帳並傳陌生連結」提供的關鍵條件。異常低價、催促和脫離平台是高風險訊號；查證與受保障付款能降低詐騙。</x:v>
      </x:c>
      <x:c r="Q127" s="34" t="str">
        <x:v>證據吻合。選項「停止交易並改用官方查證與付款」能把消費安全的線索合理連起來。</x:v>
      </x:c>
      <x:c r="R127" s="34" t="str">
        <x:v>「板塊交界造成多山與地震」是「板塊與地形」的重點，但不能回答本題的「消費安全」。請回看：把可疑訊號和正式查證管道配對。</x:v>
      </x:c>
      <x:c r="S127" s="34" t="str">
        <x:v>「比較地形、風浪、泥沙與停靠條件」是「海岸變遷」的重點，但不能回答本題的「消費安全」。請回看：把可疑訊號和正式查證管道配對。</x:v>
      </x:c>
      <x:c r="T127" s="34" t="str">
        <x:v>「遺物顯示可能已有農耕定居生活」是「史前證據」的重點，但不能回答本題的「消費安全」。請回看：把可疑訊號和正式查證管道配對。</x:v>
      </x:c>
      <x:c r="U127" s="34" t="str">
        <x:v>判斷正確</x:v>
      </x:c>
      <x:c r="V127" s="34" t="str">
        <x:v>單因推論</x:v>
      </x:c>
      <x:c r="W127" s="34" t="str">
        <x:v>證據不足</x:v>
      </x:c>
      <x:c r="X127" s="34" t="str">
        <x:v>忽略利害關係人</x:v>
      </x:c>
      <x:c r="Y127" s="34" t="str">
        <x:v>把可疑訊號和正式查證管道配對。</x:v>
      </x:c>
      <x:c r="Z127" s="34" t="str">
        <x:v>臺灣是遷徙與交流的中繼點</x:v>
      </x:c>
      <x:c r="AA127" s="34" t="str">
        <x:v>聚焦特定海岸、時間與不同觀點</x:v>
      </x:c>
      <x:c r="AB127" s="34" t="str">
        <x:v>A</x:v>
      </x:c>
      <x:c r="AC127" s="34" t="str">
        <x:v>這是判斷「消費安全」時要使用的依據。異常低價、催促和脫離平台是高風險訊號；查證與受保障付款能降低詐騙。</x:v>
      </x:c>
      <x:c r="AD127" s="34" t="str">
        <x:v>這是「位置與交流」的重點；本題要判斷的是「消費安全」，兩者不能互相代替。</x:v>
      </x:c>
      <x:c r="AE127" s="34" t="str">
        <x:v>這項知識屬於「問題形成」，無法支持本題的「消費安全」判斷。</x:v>
      </x:c>
      <x:c r="AF127" s="34" t="str">
        <x:v>包裹簡訊要從官方 App 查，不點訊息連結。</x:v>
      </x:c>
    </x:row>
    <x:row r="128" ht="76" customHeight="1">
      <x:c r="A128" s="34" t="str">
        <x:v>5B-U4</x:v>
      </x:c>
      <x:c r="B128" s="34" t="str">
        <x:v>五下</x:v>
      </x:c>
      <x:c r="C128" s="34" t="n">
        <x:v>4</x:v>
      </x:c>
      <x:c r="D128" s="34" t="str">
        <x:v>經濟與生活</x:v>
      </x:c>
      <x:c r="E128" s="34" t="str">
        <x:v>5B-U4-O2</x:v>
      </x:c>
      <x:c r="F128" s="34" t="n">
        <x:v>4</x:v>
      </x:c>
      <x:c r="G128" s="34" t="str">
        <x:v>情境判斷</x:v>
      </x:c>
      <x:c r="H128" s="34" t="str">
        <x:v>收到瑕疵商品，消費者要申請退換貨。哪個答案最合理？</x:v>
      </x:c>
      <x:c r="I128" s="34" t="str">
        <x:v>保存證據，再循正式管道申訴</x:v>
      </x:c>
      <x:c r="J128" s="34" t="str">
        <x:v>先丟掉商品再要求賠償</x:v>
      </x:c>
      <x:c r="K128" s="34" t="str">
        <x:v>公開個資逼店家處理</x:v>
      </x:c>
      <x:c r="L128" s="34" t="str">
        <x:v>保留植被並依坡度調整耕作</x:v>
      </x:c>
      <x:c r="M128" s="34" t="str">
        <x:v>A</x:v>
      </x:c>
      <x:c r="N128" s="34" t="str">
        <x:v>保存證據，再循正式管道申訴</x:v>
      </x:c>
      <x:c r="O128" s="34" t="str">
        <x:v>保留何時、向誰、買了什麼的證明。</x:v>
      </x:c>
      <x:c r="P128" s="34" t="str">
        <x:v>交易與瑕疵證據能支持申訴，消費者、企業和政府管道各有責任。</x:v>
      </x:c>
      <x:c r="Q128" s="34" t="str">
        <x:v>這項選擇成立：保存證據，再循正式管道申訴。它抓住消費權益的關鍵條件。</x:v>
      </x:c>
      <x:c r="R128" s="34" t="str">
        <x:v>選項和題意關係較弱。提示：保留何時、向誰、買了什麼的證明。</x:v>
      </x:c>
      <x:c r="S128" s="34" t="str">
        <x:v>這裡混淆了條件與結論。提示：保留何時、向誰、買了什麼的證明。</x:v>
      </x:c>
      <x:c r="T128" s="34" t="str">
        <x:v>「保留植被並依坡度調整耕作」是「永續農業」的重點，但不能回答本題的「消費權益」。請回看：保留何時、向誰、買了什麼的證明。</x:v>
      </x:c>
      <x:c r="U128" s="34" t="str">
        <x:v>判斷正確</x:v>
      </x:c>
      <x:c r="V128" s="34" t="str">
        <x:v>過度概括</x:v>
      </x:c>
      <x:c r="W128" s="34" t="str">
        <x:v>單因推論</x:v>
      </x:c>
      <x:c r="X128" s="34" t="str">
        <x:v>證據不足</x:v>
      </x:c>
      <x:c r="Y128" s="34" t="str">
        <x:v>保留何時、向誰、買了什麼的證明。</x:v>
      </x:c>
      <x:c r="Z128" s="34" t="str">
        <x:v>查紀錄、調方法，再用同指標測量</x:v>
      </x:c>
      <x:c r="AA128" s="34" t="str">
        <x:v>訪談多方並搭配噪音與發電資料</x:v>
      </x:c>
      <x:c r="AB128" s="34" t="str">
        <x:v>A</x:v>
      </x:c>
      <x:c r="AC128" s="34" t="str">
        <x:v>這是判斷「消費權益」時要使用的依據。交易與瑕疵證據能支持申訴，消費者、企業和政府管道各有責任。</x:v>
      </x:c>
      <x:c r="AD128" s="34" t="str">
        <x:v>這是「行動省思」的重點；本題要判斷的是「消費權益」，兩者不能互相代替。</x:v>
      </x:c>
      <x:c r="AE128" s="34" t="str">
        <x:v>這項知識屬於「多元觀點」，無法支持本題的「消費權益」判斷。</x:v>
      </x:c>
      <x:c r="AF128" s="34" t="str">
        <x:v>需要時查詢 1950 等正式消保管道。</x:v>
      </x:c>
    </x:row>
    <x:row r="129" ht="76" customHeight="1">
      <x:c r="A129" s="34" t="str">
        <x:v>5B-U4</x:v>
      </x:c>
      <x:c r="B129" s="34" t="str">
        <x:v>五下</x:v>
      </x:c>
      <x:c r="C129" s="34" t="n">
        <x:v>4</x:v>
      </x:c>
      <x:c r="D129" s="34" t="str">
        <x:v>經濟與生活</x:v>
      </x:c>
      <x:c r="E129" s="34" t="str">
        <x:v>5B-U4-O2</x:v>
      </x:c>
      <x:c r="F129" s="34" t="n">
        <x:v>5</x:v>
      </x:c>
      <x:c r="G129" s="34" t="str">
        <x:v>證據判讀</x:v>
      </x:c>
      <x:c r="H129" s="34" t="str">
        <x:v>哪項資料最能支持「保存證據，再循正式管道申訴」？</x:v>
      </x:c>
      <x:c r="I129" s="34" t="str">
        <x:v>和題目直接有關的資料</x:v>
      </x:c>
      <x:c r="J129" s="34" t="str">
        <x:v>外力暴露治理不足，促使政策改變</x:v>
      </x:c>
      <x:c r="K129" s="34" t="str">
        <x:v>海防受重視，建省與建設強化治理</x:v>
      </x:c>
      <x:c r="L129" s="34" t="str">
        <x:v>電力帶來便利，也增加供電依賴</x:v>
      </x:c>
      <x:c r="M129" s="34" t="str">
        <x:v>A</x:v>
      </x:c>
      <x:c r="N129" s="34" t="str">
        <x:v>和題目直接有關的資料</x:v>
      </x:c>
      <x:c r="O129" s="34" t="str">
        <x:v>保留何時、向誰、買了什麼的證明。</x:v>
      </x:c>
      <x:c r="P129" s="34" t="str">
        <x:v>這題檢查的是證據能否直接支持「保存商品、訂單和對話，先聯絡業者，再用平台或消保管道申訴」，不是文字長短或票數。交易與瑕疵證據能支持申訴，消費者、企業和政府管道各有責任。</x:v>
      </x:c>
      <x:c r="Q129" s="34" t="str">
        <x:v>證據吻合。選項「和題目直接有關的資料」能把消費權益的線索合理連起來。</x:v>
      </x:c>
      <x:c r="R129" s="34" t="str">
        <x:v>「外力暴露治理不足，促使政策改變」是「牡丹社事件」的重點，但不能回答本題的「消費權益」。請回看：保留何時、向誰、買了什麼的證明。</x:v>
      </x:c>
      <x:c r="S129" s="34" t="str">
        <x:v>「海防受重視，建省與建設強化治理」是「清法戰爭與建省」的重點，但不能回答本題的「消費權益」。請回看：保留何時、向誰、買了什麼的證明。</x:v>
      </x:c>
      <x:c r="T129" s="34" t="str">
        <x:v>「電力帶來便利，也增加供電依賴」是「電力與生活」的重點，但不能回答本題的「消費權益」。請回看：保留何時、向誰、買了什麼的證明。</x:v>
      </x:c>
      <x:c r="U129" s="34" t="str">
        <x:v>判斷正確</x:v>
      </x:c>
      <x:c r="V129" s="34" t="str">
        <x:v>單因推論</x:v>
      </x:c>
      <x:c r="W129" s="34" t="str">
        <x:v>證據不足</x:v>
      </x:c>
      <x:c r="X129" s="34" t="str">
        <x:v>忽略利害關係人</x:v>
      </x:c>
      <x:c r="Y129" s="34" t="str">
        <x:v>保留何時、向誰、買了什麼的證明。</x:v>
      </x:c>
      <x:c r="Z129" s="34" t="str">
        <x:v>訪談多方並搭配噪音與發電資料</x:v>
      </x:c>
      <x:c r="AA129" s="34" t="str">
        <x:v>查明進口木材是否來自永續來源</x:v>
      </x:c>
      <x:c r="AB129" s="34" t="str">
        <x:v>A</x:v>
      </x:c>
      <x:c r="AC129" s="34" t="str">
        <x:v>這是判斷「消費權益」時要使用的依據。交易與瑕疵證據能支持申訴，消費者、企業和政府管道各有責任。</x:v>
      </x:c>
      <x:c r="AD129" s="34" t="str">
        <x:v>這是「多元觀點」的重點；本題要判斷的是「消費權益」，兩者不能互相代替。</x:v>
      </x:c>
      <x:c r="AE129" s="34" t="str">
        <x:v>這項知識屬於「森林供應鏈」，無法支持本題的「消費權益」判斷。</x:v>
      </x:c>
      <x:c r="AF129" s="34" t="str">
        <x:v>需要時查詢 1950 等正式消保管道。</x:v>
      </x:c>
    </x:row>
    <x:row r="130" ht="76" customHeight="1">
      <x:c r="A130" s="34" t="str">
        <x:v>5B-U4</x:v>
      </x:c>
      <x:c r="B130" s="34" t="str">
        <x:v>五下</x:v>
      </x:c>
      <x:c r="C130" s="34" t="n">
        <x:v>4</x:v>
      </x:c>
      <x:c r="D130" s="34" t="str">
        <x:v>經濟與生活</x:v>
      </x:c>
      <x:c r="E130" s="34" t="str">
        <x:v>5B-U4-O2</x:v>
      </x:c>
      <x:c r="F130" s="34" t="n">
        <x:v>6</x:v>
      </x:c>
      <x:c r="G130" s="34" t="str">
        <x:v>迷思修正</x:v>
      </x:c>
      <x:c r="H130" s="34" t="str">
        <x:v>有人說：「先丟掉商品再要求賠償」哪個答案能改正這個說法？</x:v>
      </x:c>
      <x:c r="I130" s="34" t="str">
        <x:v>保存證據，再循正式管道申訴</x:v>
      </x:c>
      <x:c r="J130" s="34" t="str">
        <x:v>比較供應、動物、傳染病與廢水管理</x:v>
      </x:c>
      <x:c r="K130" s="34" t="str">
        <x:v>設禁漁期、尺寸限制並協助轉型</x:v>
      </x:c>
      <x:c r="L130" s="34" t="str">
        <x:v>查明進口木材是否來自永續來源</x:v>
      </x:c>
      <x:c r="M130" s="34" t="str">
        <x:v>A</x:v>
      </x:c>
      <x:c r="N130" s="34" t="str">
        <x:v>保存證據，再循正式管道申訴</x:v>
      </x:c>
      <x:c r="O130" s="34" t="str">
        <x:v>保留何時、向誰、買了什麼的證明。</x:v>
      </x:c>
      <x:c r="P130" s="34" t="str">
        <x:v>迷思「先丟掉商品再要求賠償」的問題，是它沒有處理「收到瑕疵商品，消費者要申請退換貨」提供的關鍵條件。交易與瑕疵證據能支持申訴，消費者、企業和政府管道各有責任。</x:v>
      </x:c>
      <x:c r="Q130" s="34" t="str">
        <x:v>答對了；「保存證據，再循正式管道申訴」同時保留了消費權益需要的範圍與限制。</x:v>
      </x:c>
      <x:c r="R130" s="34" t="str">
        <x:v>「比較供應、動物、傳染病與廢水管理」是「畜牧權衡」的重點，但不能回答本題的「消費權益」。請回看：保留何時、向誰、買了什麼的證明。</x:v>
      </x:c>
      <x:c r="S130" s="34" t="str">
        <x:v>「設禁漁期、尺寸限制並協助轉型」是「永續漁業」的重點，但不能回答本題的「消費權益」。請回看：保留何時、向誰、買了什麼的證明。</x:v>
      </x:c>
      <x:c r="T130" s="34" t="str">
        <x:v>「查明進口木材是否來自永續來源」是「森林供應鏈」的重點，但不能回答本題的「消費權益」。請回看：保留何時、向誰、買了什麼的證明。</x:v>
      </x:c>
      <x:c r="U130" s="34" t="str">
        <x:v>判斷正確</x:v>
      </x:c>
      <x:c r="V130" s="34" t="str">
        <x:v>證據不足</x:v>
      </x:c>
      <x:c r="W130" s="34" t="str">
        <x:v>忽略利害關係人</x:v>
      </x:c>
      <x:c r="X130" s="34" t="str">
        <x:v>把意見當證據</x:v>
      </x:c>
      <x:c r="Y130" s="34" t="str">
        <x:v>保留何時、向誰、買了什麼的證明。</x:v>
      </x:c>
      <x:c r="Z130" s="34" t="str">
        <x:v>規範與法律的形成及強制力不同</x:v>
      </x:c>
      <x:c r="AA130" s="34" t="str">
        <x:v>生活、機會與政策共同影響移動</x:v>
      </x:c>
      <x:c r="AB130" s="34" t="str">
        <x:v>A</x:v>
      </x:c>
      <x:c r="AC130" s="34" t="str">
        <x:v>這是判斷「消費權益」時要使用的依據。交易與瑕疵證據能支持申訴，消費者、企業和政府管道各有責任。</x:v>
      </x:c>
      <x:c r="AD130" s="34" t="str">
        <x:v>這是「規範與法律」的重點；本題要判斷的是「消費權益」，兩者不能互相代替。</x:v>
      </x:c>
      <x:c r="AE130" s="34" t="str">
        <x:v>這項知識屬於「遷移原因」，無法支持本題的「消費權益」判斷。</x:v>
      </x:c>
      <x:c r="AF130" s="34" t="str">
        <x:v>需要時查詢 1950 等正式消保管道。</x:v>
      </x:c>
    </x:row>
    <x:row r="131" ht="76" customHeight="1">
      <x:c r="A131" s="34" t="str">
        <x:v>5B-U4</x:v>
      </x:c>
      <x:c r="B131" s="34" t="str">
        <x:v>五下</x:v>
      </x:c>
      <x:c r="C131" s="34" t="n">
        <x:v>4</x:v>
      </x:c>
      <x:c r="D131" s="34" t="str">
        <x:v>經濟與生活</x:v>
      </x:c>
      <x:c r="E131" s="34" t="str">
        <x:v>5B-U4-O3</x:v>
      </x:c>
      <x:c r="F131" s="34" t="n">
        <x:v>7</x:v>
      </x:c>
      <x:c r="G131" s="34" t="str">
        <x:v>情境判斷</x:v>
      </x:c>
      <x:c r="H131" s="34" t="str">
        <x:v>有人宣稱投資商品零風險、每月保證高獲利。哪個答案最合理？</x:v>
      </x:c>
      <x:c r="I131" s="34" t="str">
        <x:v>查合法性，不投入無法承受的資金</x:v>
      </x:c>
      <x:c r="J131" s="34" t="str">
        <x:v>借錢投入才能把握機會</x:v>
      </x:c>
      <x:c r="K131" s="34" t="str">
        <x:v>報酬越高表示越安全</x:v>
      </x:c>
      <x:c r="L131" s="34" t="str">
        <x:v>貿易增加，也改變土地與族群關係</x:v>
      </x:c>
      <x:c r="M131" s="34" t="str">
        <x:v>A</x:v>
      </x:c>
      <x:c r="N131" s="34" t="str">
        <x:v>查合法性，不投入無法承受的資金</x:v>
      </x:c>
      <x:c r="O131" s="34" t="str">
        <x:v>沒有必然高報酬又零風險的商品。</x:v>
      </x:c>
      <x:c r="P131" s="34" t="str">
        <x:v>投資具有不確定性，不合理保證可能是詐騙；需配合目的、期限與承受度。</x:v>
      </x:c>
      <x:c r="Q131" s="34" t="str">
        <x:v>證據吻合。選項「查合法性，不投入無法承受的資金」能把理財風險的線索合理連起來。</x:v>
      </x:c>
      <x:c r="R131" s="34" t="str">
        <x:v>這裡混淆了條件與結論。提示：沒有必然高報酬又零風險的商品。</x:v>
      </x:c>
      <x:c r="S131" s="34" t="str">
        <x:v>這項判斷忽略重要限制。請想想：沒有必然高報酬又零風險的商品。</x:v>
      </x:c>
      <x:c r="T131" s="34" t="str">
        <x:v>「貿易增加，也改變土地與族群關係」是「貿易影響」的重點，但不能回答本題的「理財風險」。請回看：沒有必然高報酬又零風險的商品。</x:v>
      </x:c>
      <x:c r="U131" s="34" t="str">
        <x:v>判斷正確</x:v>
      </x:c>
      <x:c r="V131" s="34" t="str">
        <x:v>單因推論</x:v>
      </x:c>
      <x:c r="W131" s="34" t="str">
        <x:v>證據不足</x:v>
      </x:c>
      <x:c r="X131" s="34" t="str">
        <x:v>忽略利害關係人</x:v>
      </x:c>
      <x:c r="Y131" s="34" t="str">
        <x:v>沒有必然高報酬又零風險的商品。</x:v>
      </x:c>
      <x:c r="Z131" s="34" t="str">
        <x:v>商品與港口帶動北部市鎮發展</x:v>
      </x:c>
      <x:c r="AA131" s="34" t="str">
        <x:v>比較地形、風浪、泥沙與停靠條件</x:v>
      </x:c>
      <x:c r="AB131" s="34" t="str">
        <x:v>A</x:v>
      </x:c>
      <x:c r="AC131" s="34" t="str">
        <x:v>這是判斷「理財風險」時要使用的依據。投資具有不確定性，不合理保證可能是詐騙；需配合目的、期限與承受度。</x:v>
      </x:c>
      <x:c r="AD131" s="34" t="str">
        <x:v>這是「經濟北移」的重點；本題要判斷的是「理財風險」，兩者不能互相代替。</x:v>
      </x:c>
      <x:c r="AE131" s="34" t="str">
        <x:v>這項知識屬於「海岸變遷」，無法支持本題的「理財風險」判斷。</x:v>
      </x:c>
      <x:c r="AF131" s="34" t="str">
        <x:v>金融資訊先向可信主管機關查證。</x:v>
      </x:c>
    </x:row>
    <x:row r="132" ht="76" customHeight="1">
      <x:c r="A132" s="34" t="str">
        <x:v>5B-U4</x:v>
      </x:c>
      <x:c r="B132" s="34" t="str">
        <x:v>五下</x:v>
      </x:c>
      <x:c r="C132" s="34" t="n">
        <x:v>4</x:v>
      </x:c>
      <x:c r="D132" s="34" t="str">
        <x:v>經濟與生活</x:v>
      </x:c>
      <x:c r="E132" s="34" t="str">
        <x:v>5B-U4-O3</x:v>
      </x:c>
      <x:c r="F132" s="34" t="n">
        <x:v>8</x:v>
      </x:c>
      <x:c r="G132" s="34" t="str">
        <x:v>證據判讀</x:v>
      </x:c>
      <x:c r="H132" s="34" t="str">
        <x:v>哪項資料最能支持「查合法性，不投入無法承受的資金」？</x:v>
      </x:c>
      <x:c r="I132" s="34" t="str">
        <x:v>和題目直接有關的資料</x:v>
      </x:c>
      <x:c r="J132" s="34" t="str">
        <x:v>比較對象、程度、證據與改善方法</x:v>
      </x:c>
      <x:c r="K132" s="34" t="str">
        <x:v>用共同目標與相同標準調整方案</x:v>
      </x:c>
      <x:c r="L132" s="34" t="str">
        <x:v>設基準與措施，四週後同指標比較</x:v>
      </x:c>
      <x:c r="M132" s="34" t="str">
        <x:v>A</x:v>
      </x:c>
      <x:c r="N132" s="34" t="str">
        <x:v>和題目直接有關的資料</x:v>
      </x:c>
      <x:c r="O132" s="34" t="str">
        <x:v>沒有必然高報酬又零風險的商品。</x:v>
      </x:c>
      <x:c r="P132" s="34" t="str">
        <x:v>這題檢查的是證據能否直接支持「高報酬通常伴隨風險，應查合法性且不投入不能承受損失的錢」，不是文字長短或票數。投資具有不確定性，不合理保證可能是詐騙；需配合目的、期限與承受度。</x:v>
      </x:c>
      <x:c r="Q132" s="34" t="str">
        <x:v>答對了；「和題目直接有關的資料」同時保留了理財風險需要的範圍與限制。</x:v>
      </x:c>
      <x:c r="R132" s="34" t="str">
        <x:v>「比較對象、程度、證據與改善方法」是「分析權衡」的重點，但不能回答本題的「理財風險」。請回看：沒有必然高報酬又零風險的商品。</x:v>
      </x:c>
      <x:c r="S132" s="34" t="str">
        <x:v>「用共同目標與相同標準調整方案」是「共識與程序」的重點，但不能回答本題的「理財風險」。請回看：沒有必然高報酬又零風險的商品。</x:v>
      </x:c>
      <x:c r="T132" s="34" t="str">
        <x:v>「設基準與措施，四週後同指標比較」是「行動評估」的重點，但不能回答本題的「理財風險」。請回看：沒有必然高報酬又零風險的商品。</x:v>
      </x:c>
      <x:c r="U132" s="34" t="str">
        <x:v>判斷正確</x:v>
      </x:c>
      <x:c r="V132" s="34" t="str">
        <x:v>證據不足</x:v>
      </x:c>
      <x:c r="W132" s="34" t="str">
        <x:v>忽略利害關係人</x:v>
      </x:c>
      <x:c r="X132" s="34" t="str">
        <x:v>把意見當證據</x:v>
      </x:c>
      <x:c r="Y132" s="34" t="str">
        <x:v>沒有必然高報酬又零風險的商品。</x:v>
      </x:c>
      <x:c r="Z132" s="34" t="str">
        <x:v>比較地形、風浪、泥沙與停靠條件</x:v>
      </x:c>
      <x:c r="AA132" s="34" t="str">
        <x:v>聚焦特定海岸、時間與不同觀點</x:v>
      </x:c>
      <x:c r="AB132" s="34" t="str">
        <x:v>A</x:v>
      </x:c>
      <x:c r="AC132" s="34" t="str">
        <x:v>這是判斷「理財風險」時要使用的依據。投資具有不確定性，不合理保證可能是詐騙；需配合目的、期限與承受度。</x:v>
      </x:c>
      <x:c r="AD132" s="34" t="str">
        <x:v>這是「海岸變遷」的重點；本題要判斷的是「理財風險」，兩者不能互相代替。</x:v>
      </x:c>
      <x:c r="AE132" s="34" t="str">
        <x:v>這項知識屬於「問題形成」，無法支持本題的「理財風險」判斷。</x:v>
      </x:c>
      <x:c r="AF132" s="34" t="str">
        <x:v>金融資訊先向可信主管機關查證。</x:v>
      </x:c>
    </x:row>
    <x:row r="133" ht="76" customHeight="1">
      <x:c r="A133" s="34" t="str">
        <x:v>5B-U4</x:v>
      </x:c>
      <x:c r="B133" s="34" t="str">
        <x:v>五下</x:v>
      </x:c>
      <x:c r="C133" s="34" t="n">
        <x:v>4</x:v>
      </x:c>
      <x:c r="D133" s="34" t="str">
        <x:v>經濟與生活</x:v>
      </x:c>
      <x:c r="E133" s="34" t="str">
        <x:v>5B-U4-O3</x:v>
      </x:c>
      <x:c r="F133" s="34" t="n">
        <x:v>9</x:v>
      </x:c>
      <x:c r="G133" s="34" t="str">
        <x:v>迷思修正</x:v>
      </x:c>
      <x:c r="H133" s="34" t="str">
        <x:v>有人說：「借錢投入才能把握機會」哪個答案能改正這個說法？</x:v>
      </x:c>
      <x:c r="I133" s="34" t="str">
        <x:v>查合法性，不投入無法承受的資金</x:v>
      </x:c>
      <x:c r="J133" s="34" t="str">
        <x:v>聚焦特定海岸、時間與不同觀點</x:v>
      </x:c>
      <x:c r="K133" s="34" t="str">
        <x:v>結合檔案、觀察與多方訪談</x:v>
      </x:c>
      <x:c r="L133" s="34" t="str">
        <x:v>核對單位、時間、尺度與原始數值</x:v>
      </x:c>
      <x:c r="M133" s="34" t="str">
        <x:v>A</x:v>
      </x:c>
      <x:c r="N133" s="34" t="str">
        <x:v>查合法性，不投入無法承受的資金</x:v>
      </x:c>
      <x:c r="O133" s="34" t="str">
        <x:v>沒有必然高報酬又零風險的商品。</x:v>
      </x:c>
      <x:c r="P133" s="34" t="str">
        <x:v>迷思「借錢投入才能把握機會」的問題，是它沒有處理「有人宣稱投資商品零風險、每月保證高獲利」提供的關鍵條件。投資具有不確定性，不合理保證可能是詐騙；需配合目的、期限與承受度。</x:v>
      </x:c>
      <x:c r="Q133" s="34" t="str">
        <x:v>你的判讀可被查證：查合法性，不投入無法承受的資金。這正是理財風險要比較的核心。</x:v>
      </x:c>
      <x:c r="R133" s="34" t="str">
        <x:v>「聚焦特定海岸、時間與不同觀點」是「問題形成」的重點，但不能回答本題的「理財風險」。請回看：沒有必然高報酬又零風險的商品。</x:v>
      </x:c>
      <x:c r="S133" s="34" t="str">
        <x:v>「結合檔案、觀察與多方訪談」是「多元資料」的重點，但不能回答本題的「理財風險」。請回看：沒有必然高報酬又零風險的商品。</x:v>
      </x:c>
      <x:c r="T133" s="34" t="str">
        <x:v>「核對單位、時間、尺度與原始數值」是「圖表判讀」的重點，但不能回答本題的「理財風險」。請回看：沒有必然高報酬又零風險的商品。</x:v>
      </x:c>
      <x:c r="U133" s="34" t="str">
        <x:v>判斷正確</x:v>
      </x:c>
      <x:c r="V133" s="34" t="str">
        <x:v>忽略利害關係人</x:v>
      </x:c>
      <x:c r="W133" s="34" t="str">
        <x:v>把意見當證據</x:v>
      </x:c>
      <x:c r="X133" s="34" t="str">
        <x:v>位置錯置</x:v>
      </x:c>
      <x:c r="Y133" s="34" t="str">
        <x:v>沒有必然高報酬又零風險的商品。</x:v>
      </x:c>
      <x:c r="Z133" s="34" t="str">
        <x:v>長期追蹤保存、參與、就業與環境</x:v>
      </x:c>
      <x:c r="AA133" s="34" t="str">
        <x:v>海防受重視，建省與建設強化治理</x:v>
      </x:c>
      <x:c r="AB133" s="34" t="str">
        <x:v>A</x:v>
      </x:c>
      <x:c r="AC133" s="34" t="str">
        <x:v>這是判斷「理財風險」時要使用的依據。投資具有不確定性，不合理保證可能是詐騙；需配合目的、期限與承受度。</x:v>
      </x:c>
      <x:c r="AD133" s="34" t="str">
        <x:v>這是「地方轉型」的重點；本題要判斷的是「理財風險」，兩者不能互相代替。</x:v>
      </x:c>
      <x:c r="AE133" s="34" t="str">
        <x:v>這項知識屬於「清法戰爭與建省」，無法支持本題的「理財風險」判斷。</x:v>
      </x:c>
      <x:c r="AF133" s="34" t="str">
        <x:v>金融資訊先向可信主管機關查證。</x:v>
      </x:c>
    </x:row>
    <x:row r="134" ht="76" customHeight="1">
      <x:c r="A134" s="34" t="str">
        <x:v>5B-U4</x:v>
      </x:c>
      <x:c r="B134" s="34" t="str">
        <x:v>五下</x:v>
      </x:c>
      <x:c r="C134" s="34" t="n">
        <x:v>4</x:v>
      </x:c>
      <x:c r="D134" s="34" t="str">
        <x:v>經濟與生活</x:v>
      </x:c>
      <x:c r="E134" s="34" t="str">
        <x:v>5B-U4-O4</x:v>
      </x:c>
      <x:c r="F134" s="34" t="n">
        <x:v>10</x:v>
      </x:c>
      <x:c r="G134" s="34" t="str">
        <x:v>情境判斷</x:v>
      </x:c>
      <x:c r="H134" s="34" t="str">
        <x:v>社區設置共享單車，但常被亂停或損壞。哪個答案最合理？</x:v>
      </x:c>
      <x:c r="I134" s="34" t="str">
        <x:v>訂規則、維修配置與歸還責任</x:v>
      </x:c>
      <x:c r="J134" s="34" t="str">
        <x:v>只增加車數，不分析需求</x:v>
      </x:c>
      <x:c r="K134" s="34" t="str">
        <x:v>取消所有管理與損壞責任</x:v>
      </x:c>
      <x:c r="L134" s="34" t="str">
        <x:v>分析資源、語言、組織與治理</x:v>
      </x:c>
      <x:c r="M134" s="34" t="str">
        <x:v>A</x:v>
      </x:c>
      <x:c r="N134" s="34" t="str">
        <x:v>訂規則、維修配置與歸還責任</x:v>
      </x:c>
      <x:c r="O134" s="34" t="str">
        <x:v>共享改變的是所有方式，不是取消責任。</x:v>
      </x:c>
      <x:c r="P134" s="34" t="str">
        <x:v>共享提高利用率，但不代表沒有管理；維護、秩序與責任決定服務品質。</x:v>
      </x:c>
      <x:c r="Q134" s="34" t="str">
        <x:v>答對了；「訂規則、維修配置與歸還責任」同時保留了共享資源需要的範圍與限制。</x:v>
      </x:c>
      <x:c r="R134" s="34" t="str">
        <x:v>這項判斷忽略重要限制。請想想：共享改變的是所有方式，不是取消責任。</x:v>
      </x:c>
      <x:c r="S134" s="34" t="str">
        <x:v>焦點放錯了。請回看：共享改變的是所有方式，不是取消責任。</x:v>
      </x:c>
      <x:c r="T134" s="34" t="str">
        <x:v>「分析資源、語言、組織與治理」是「族群衝突」的重點，但不能回答本題的「共享資源」。請回看：共享改變的是所有方式，不是取消責任。</x:v>
      </x:c>
      <x:c r="U134" s="34" t="str">
        <x:v>判斷正確</x:v>
      </x:c>
      <x:c r="V134" s="34" t="str">
        <x:v>證據不足</x:v>
      </x:c>
      <x:c r="W134" s="34" t="str">
        <x:v>忽略利害關係人</x:v>
      </x:c>
      <x:c r="X134" s="34" t="str">
        <x:v>把意見當證據</x:v>
      </x:c>
      <x:c r="Y134" s="34" t="str">
        <x:v>共享改變的是所有方式，不是取消責任。</x:v>
      </x:c>
      <x:c r="Z134" s="34" t="str">
        <x:v>用共同指標比較各能源的代價</x:v>
      </x:c>
      <x:c r="AA134" s="34" t="str">
        <x:v>保留植被並依坡度調整耕作</x:v>
      </x:c>
      <x:c r="AB134" s="34" t="str">
        <x:v>A</x:v>
      </x:c>
      <x:c r="AC134" s="34" t="str">
        <x:v>這是判斷「共享資源」時要使用的依據。共享提高利用率，但不代表沒有管理；維護、秩序與責任決定服務品質。</x:v>
      </x:c>
      <x:c r="AD134" s="34" t="str">
        <x:v>這是「能源代價」的重點；本題要判斷的是「共享資源」，兩者不能互相代替。</x:v>
      </x:c>
      <x:c r="AE134" s="34" t="str">
        <x:v>這項知識屬於「永續農業」，無法支持本題的「共享資源」判斷。</x:v>
      </x:c>
      <x:c r="AF134" s="34" t="str">
        <x:v>借用公物要按時歸還並回報損壞。</x:v>
      </x:c>
    </x:row>
    <x:row r="135" ht="76" customHeight="1">
      <x:c r="A135" s="34" t="str">
        <x:v>5B-U4</x:v>
      </x:c>
      <x:c r="B135" s="34" t="str">
        <x:v>五下</x:v>
      </x:c>
      <x:c r="C135" s="34" t="n">
        <x:v>4</x:v>
      </x:c>
      <x:c r="D135" s="34" t="str">
        <x:v>經濟與生活</x:v>
      </x:c>
      <x:c r="E135" s="34" t="str">
        <x:v>5B-U4-O4</x:v>
      </x:c>
      <x:c r="F135" s="34" t="n">
        <x:v>11</x:v>
      </x:c>
      <x:c r="G135" s="34" t="str">
        <x:v>證據判讀</x:v>
      </x:c>
      <x:c r="H135" s="34" t="str">
        <x:v>哪項資料最能支持「訂規則、維修配置與歸還責任」？</x:v>
      </x:c>
      <x:c r="I135" s="34" t="str">
        <x:v>和題目直接有關的資料</x:v>
      </x:c>
      <x:c r="J135" s="34" t="str">
        <x:v>環境、季節與歷史共同影響生活</x:v>
      </x:c>
      <x:c r="K135" s="34" t="str">
        <x:v>規範與法律的形成及強制力不同</x:v>
      </x:c>
      <x:c r="L135" s="34" t="str">
        <x:v>規範可調整，互助目的仍保留</x:v>
      </x:c>
      <x:c r="M135" s="34" t="str">
        <x:v>A</x:v>
      </x:c>
      <x:c r="N135" s="34" t="str">
        <x:v>和題目直接有關的資料</x:v>
      </x:c>
      <x:c r="O135" s="34" t="str">
        <x:v>共享改變的是所有方式，不是取消責任。</x:v>
      </x:c>
      <x:c r="P135" s="34" t="str">
        <x:v>這題檢查的是證據能否直接支持「清楚規則、維修與合理配置，並讓使用者承擔歸還責任」，不是文字長短或票數。共享提高利用率，但不代表沒有管理；維護、秩序與責任決定服務品質。</x:v>
      </x:c>
      <x:c r="Q135" s="34" t="str">
        <x:v>你的判讀可被查證：和題目直接有關的資料。這正是共享資源要比較的核心。</x:v>
      </x:c>
      <x:c r="R135" s="34" t="str">
        <x:v>「環境、季節與歷史共同影響生活」是「環境與生活」的重點，但不能回答本題的「共享資源」。請回看：共享改變的是所有方式，不是取消責任。</x:v>
      </x:c>
      <x:c r="S135" s="34" t="str">
        <x:v>「規範與法律的形成及強制力不同」是「規範與法律」的重點，但不能回答本題的「共享資源」。請回看：共享改變的是所有方式，不是取消責任。</x:v>
      </x:c>
      <x:c r="T135" s="34" t="str">
        <x:v>「規範可調整，互助目的仍保留」是「規範變遷」的重點，但不能回答本題的「共享資源」。請回看：共享改變的是所有方式，不是取消責任。</x:v>
      </x:c>
      <x:c r="U135" s="34" t="str">
        <x:v>判斷正確</x:v>
      </x:c>
      <x:c r="V135" s="34" t="str">
        <x:v>忽略利害關係人</x:v>
      </x:c>
      <x:c r="W135" s="34" t="str">
        <x:v>把意見當證據</x:v>
      </x:c>
      <x:c r="X135" s="34" t="str">
        <x:v>位置錯置</x:v>
      </x:c>
      <x:c r="Y135" s="34" t="str">
        <x:v>共享改變的是所有方式，不是取消責任。</x:v>
      </x:c>
      <x:c r="Z135" s="34" t="str">
        <x:v>查明進口木材是否來自永續來源</x:v>
      </x:c>
      <x:c r="AA135" s="34" t="str">
        <x:v>通商壓力、物產與航路共同促成開港</x:v>
      </x:c>
      <x:c r="AB135" s="34" t="str">
        <x:v>A</x:v>
      </x:c>
      <x:c r="AC135" s="34" t="str">
        <x:v>這是判斷「共享資源」時要使用的依據。共享提高利用率，但不代表沒有管理；維護、秩序與責任決定服務品質。</x:v>
      </x:c>
      <x:c r="AD135" s="34" t="str">
        <x:v>這是「森林供應鏈」的重點；本題要判斷的是「共享資源」，兩者不能互相代替。</x:v>
      </x:c>
      <x:c r="AE135" s="34" t="str">
        <x:v>這項知識屬於「開港背景」，無法支持本題的「共享資源」判斷。</x:v>
      </x:c>
      <x:c r="AF135" s="34" t="str">
        <x:v>借用公物要按時歸還並回報損壞。</x:v>
      </x:c>
    </x:row>
    <x:row r="136" ht="76" customHeight="1">
      <x:c r="A136" s="34" t="str">
        <x:v>5B-U4</x:v>
      </x:c>
      <x:c r="B136" s="34" t="str">
        <x:v>五下</x:v>
      </x:c>
      <x:c r="C136" s="34" t="n">
        <x:v>4</x:v>
      </x:c>
      <x:c r="D136" s="34" t="str">
        <x:v>經濟與生活</x:v>
      </x:c>
      <x:c r="E136" s="34" t="str">
        <x:v>5B-U4-O4</x:v>
      </x:c>
      <x:c r="F136" s="34" t="n">
        <x:v>12</x:v>
      </x:c>
      <x:c r="G136" s="34" t="str">
        <x:v>迷思修正</x:v>
      </x:c>
      <x:c r="H136" s="34" t="str">
        <x:v>有人說：「只增加車數，不分析需求」哪個答案能改正這個說法？</x:v>
      </x:c>
      <x:c r="I136" s="34" t="str">
        <x:v>訂規則、維修配置與歸還責任</x:v>
      </x:c>
      <x:c r="J136" s="34" t="str">
        <x:v>港市帶動文化，但各族群影響不同</x:v>
      </x:c>
      <x:c r="K136" s="34" t="str">
        <x:v>通商壓力、物產與航路共同促成開港</x:v>
      </x:c>
      <x:c r="L136" s="34" t="str">
        <x:v>商品與港口帶動北部市鎮發展</x:v>
      </x:c>
      <x:c r="M136" s="34" t="str">
        <x:v>A</x:v>
      </x:c>
      <x:c r="N136" s="34" t="str">
        <x:v>訂規則、維修配置與歸還責任</x:v>
      </x:c>
      <x:c r="O136" s="34" t="str">
        <x:v>共享改變的是所有方式，不是取消責任。</x:v>
      </x:c>
      <x:c r="P136" s="34" t="str">
        <x:v>迷思「只增加車數，不分析需求」的問題，是它沒有處理「社區設置共享單車，但常被亂停或損壞」提供的關鍵條件。共享提高利用率，但不代表沒有管理；維護、秩序與責任決定服務品質。</x:v>
      </x:c>
      <x:c r="Q136" s="34" t="str">
        <x:v>判斷精準。「訂規則、維修配置與歸還責任」直接回應共享資源，推論沒有超過資料。</x:v>
      </x:c>
      <x:c r="R136" s="34" t="str">
        <x:v>「港市帶動文化，但各族群影響不同」是「港市與文化」的重點，但不能回答本題的「共享資源」。請回看：共享改變的是所有方式，不是取消責任。</x:v>
      </x:c>
      <x:c r="S136" s="34" t="str">
        <x:v>「通商壓力、物產與航路共同促成開港」是「開港背景」的重點，但不能回答本題的「共享資源」。請回看：共享改變的是所有方式，不是取消責任。</x:v>
      </x:c>
      <x:c r="T136" s="34" t="str">
        <x:v>「商品與港口帶動北部市鎮發展」是「經濟北移」的重點，但不能回答本題的「共享資源」。請回看：共享改變的是所有方式，不是取消責任。</x:v>
      </x:c>
      <x:c r="U136" s="34" t="str">
        <x:v>判斷正確</x:v>
      </x:c>
      <x:c r="V136" s="34" t="str">
        <x:v>把意見當證據</x:v>
      </x:c>
      <x:c r="W136" s="34" t="str">
        <x:v>位置錯置</x:v>
      </x:c>
      <x:c r="X136" s="34" t="str">
        <x:v>忽略時空脈絡</x:v>
      </x:c>
      <x:c r="Y136" s="34" t="str">
        <x:v>共享改變的是所有方式，不是取消責任。</x:v>
      </x:c>
      <x:c r="Z136" s="34" t="str">
        <x:v>結合檔案、觀察與多方訪談</x:v>
      </x:c>
      <x:c r="AA136" s="34" t="str">
        <x:v>訪談多方並搭配噪音與發電資料</x:v>
      </x:c>
      <x:c r="AB136" s="34" t="str">
        <x:v>A</x:v>
      </x:c>
      <x:c r="AC136" s="34" t="str">
        <x:v>這是判斷「共享資源」時要使用的依據。共享提高利用率，但不代表沒有管理；維護、秩序與責任決定服務品質。</x:v>
      </x:c>
      <x:c r="AD136" s="34" t="str">
        <x:v>這是「多元資料」的重點；本題要判斷的是「共享資源」，兩者不能互相代替。</x:v>
      </x:c>
      <x:c r="AE136" s="34" t="str">
        <x:v>這項知識屬於「多元觀點」，無法支持本題的「共享資源」判斷。</x:v>
      </x:c>
      <x:c r="AF136" s="34" t="str">
        <x:v>借用公物要按時歸還並回報損壞。</x:v>
      </x:c>
    </x:row>
    <x:row r="137" ht="76" customHeight="1">
      <x:c r="A137" s="34" t="str">
        <x:v>5B-U4</x:v>
      </x:c>
      <x:c r="B137" s="34" t="str">
        <x:v>五下</x:v>
      </x:c>
      <x:c r="C137" s="34" t="n">
        <x:v>4</x:v>
      </x:c>
      <x:c r="D137" s="34" t="str">
        <x:v>經濟與生活</x:v>
      </x:c>
      <x:c r="E137" s="34" t="str">
        <x:v>5B-U4-O5</x:v>
      </x:c>
      <x:c r="F137" s="34" t="n">
        <x:v>13</x:v>
      </x:c>
      <x:c r="G137" s="34" t="str">
        <x:v>情境判斷</x:v>
      </x:c>
      <x:c r="H137" s="34" t="str">
        <x:v>企業想把一次性產品改成循環模式。哪個答案最合理？</x:v>
      </x:c>
      <x:c r="I137" s="34" t="str">
        <x:v>設計耐用可修產品並回收再製</x:v>
      </x:c>
      <x:c r="J137" s="34" t="str">
        <x:v>開採、製造、用一次後掩埋</x:v>
      </x:c>
      <x:c r="K137" s="34" t="str">
        <x:v>把可用物品全部換新</x:v>
      </x:c>
      <x:c r="L137" s="34" t="str">
        <x:v>依地理條件發展能源並評估影響</x:v>
      </x:c>
      <x:c r="M137" s="34" t="str">
        <x:v>A</x:v>
      </x:c>
      <x:c r="N137" s="34" t="str">
        <x:v>設計耐用可修產品並回收再製</x:v>
      </x:c>
      <x:c r="O137" s="34" t="str">
        <x:v>循環要從產品出生前開始。</x:v>
      </x:c>
      <x:c r="P137" s="34" t="str">
        <x:v>循環經濟從設計、生產、使用到回收讓資源持續運作，不只是末端分類垃圾。</x:v>
      </x:c>
      <x:c r="Q137" s="34" t="str">
        <x:v>你的判讀可被查證：設計耐用可修產品並回收再製。這正是循環經濟要比較的核心。</x:v>
      </x:c>
      <x:c r="R137" s="34" t="str">
        <x:v>焦點放錯了。請回看：循環要從產品出生前開始。</x:v>
      </x:c>
      <x:c r="S137" s="34" t="str">
        <x:v>這項推論缺少證據。請確認：循環要從產品出生前開始。</x:v>
      </x:c>
      <x:c r="T137" s="34" t="str">
        <x:v>「依地理條件發展能源並評估影響」是「地理配對」的重點，但不能回答本題的「循環經濟」。請回看：循環要從產品出生前開始。</x:v>
      </x:c>
      <x:c r="U137" s="34" t="str">
        <x:v>判斷正確</x:v>
      </x:c>
      <x:c r="V137" s="34" t="str">
        <x:v>忽略利害關係人</x:v>
      </x:c>
      <x:c r="W137" s="34" t="str">
        <x:v>把意見當證據</x:v>
      </x:c>
      <x:c r="X137" s="34" t="str">
        <x:v>位置錯置</x:v>
      </x:c>
      <x:c r="Y137" s="34" t="str">
        <x:v>循環要從產品出生前開始。</x:v>
      </x:c>
      <x:c r="Z137" s="34" t="str">
        <x:v>臺灣是遷徙與交流的中繼點</x:v>
      </x:c>
      <x:c r="AA137" s="34" t="str">
        <x:v>南荷北西，後由鄭成功驅逐荷蘭</x:v>
      </x:c>
      <x:c r="AB137" s="34" t="str">
        <x:v>A</x:v>
      </x:c>
      <x:c r="AC137" s="34" t="str">
        <x:v>這是判斷「循環經濟」時要使用的依據。循環經濟從設計、生產、使用到回收讓資源持續運作，不只是末端分類垃圾。</x:v>
      </x:c>
      <x:c r="AD137" s="34" t="str">
        <x:v>這是「位置與交流」的重點；本題要判斷的是「循環經濟」，兩者不能互相代替。</x:v>
      </x:c>
      <x:c r="AE137" s="34" t="str">
        <x:v>這項知識屬於「時序空間」，無法支持本題的「循環經濟」判斷。</x:v>
      </x:c>
      <x:c r="AF137" s="34" t="str">
        <x:v>選購時考慮耐用、可修與回收。</x:v>
      </x:c>
    </x:row>
    <x:row r="138" ht="76" customHeight="1">
      <x:c r="A138" s="34" t="str">
        <x:v>5B-U4</x:v>
      </x:c>
      <x:c r="B138" s="34" t="str">
        <x:v>五下</x:v>
      </x:c>
      <x:c r="C138" s="34" t="n">
        <x:v>4</x:v>
      </x:c>
      <x:c r="D138" s="34" t="str">
        <x:v>經濟與生活</x:v>
      </x:c>
      <x:c r="E138" s="34" t="str">
        <x:v>5B-U4-O5</x:v>
      </x:c>
      <x:c r="F138" s="34" t="n">
        <x:v>14</x:v>
      </x:c>
      <x:c r="G138" s="34" t="str">
        <x:v>證據判讀</x:v>
      </x:c>
      <x:c r="H138" s="34" t="str">
        <x:v>哪項資料最能支持「設計耐用可修產品並回收再製」？</x:v>
      </x:c>
      <x:c r="I138" s="34" t="str">
        <x:v>和題目直接有關的資料</x:v>
      </x:c>
      <x:c r="J138" s="34" t="str">
        <x:v>泥沙堆積使船難進出，港口轉移</x:v>
      </x:c>
      <x:c r="K138" s="34" t="str">
        <x:v>臺灣鄰近航路，利於貿易競爭</x:v>
      </x:c>
      <x:c r="L138" s="34" t="str">
        <x:v>南荷北西，後由鄭成功驅逐荷蘭</x:v>
      </x:c>
      <x:c r="M138" s="34" t="str">
        <x:v>A</x:v>
      </x:c>
      <x:c r="N138" s="34" t="str">
        <x:v>和題目直接有關的資料</x:v>
      </x:c>
      <x:c r="O138" s="34" t="str">
        <x:v>循環要從產品出生前開始。</x:v>
      </x:c>
      <x:c r="P138" s="34" t="str">
        <x:v>這題檢查的是證據能否直接支持「設計耐用可修產品，回收材料再製並減少最終廢棄」，不是文字長短或票數。循環經濟從設計、生產、使用到回收讓資源持續運作，不只是末端分類垃圾。</x:v>
      </x:c>
      <x:c r="Q138" s="34" t="str">
        <x:v>判斷精準。「和題目直接有關的資料」直接回應循環經濟，推論沒有超過資料。</x:v>
      </x:c>
      <x:c r="R138" s="34" t="str">
        <x:v>「泥沙堆積使船難進出，港口轉移」是「潟湖與港口」的重點，但不能回答本題的「循環經濟」。請回看：循環要從產品出生前開始。</x:v>
      </x:c>
      <x:c r="S138" s="34" t="str">
        <x:v>「臺灣鄰近航路，利於貿易競爭」是「航海動機」的重點，但不能回答本題的「循環經濟」。請回看：循環要從產品出生前開始。</x:v>
      </x:c>
      <x:c r="T138" s="34" t="str">
        <x:v>「南荷北西，後由鄭成功驅逐荷蘭」是「時序空間」的重點，但不能回答本題的「循環經濟」。請回看：循環要從產品出生前開始。</x:v>
      </x:c>
      <x:c r="U138" s="34" t="str">
        <x:v>判斷正確</x:v>
      </x:c>
      <x:c r="V138" s="34" t="str">
        <x:v>把意見當證據</x:v>
      </x:c>
      <x:c r="W138" s="34" t="str">
        <x:v>位置錯置</x:v>
      </x:c>
      <x:c r="X138" s="34" t="str">
        <x:v>忽略時空脈絡</x:v>
      </x:c>
      <x:c r="Y138" s="34" t="str">
        <x:v>循環要從產品出生前開始。</x:v>
      </x:c>
      <x:c r="Z138" s="34" t="str">
        <x:v>聚焦特定海岸、時間與不同觀點</x:v>
      </x:c>
      <x:c r="AA138" s="34" t="str">
        <x:v>依地理條件發展能源並評估影響</x:v>
      </x:c>
      <x:c r="AB138" s="34" t="str">
        <x:v>A</x:v>
      </x:c>
      <x:c r="AC138" s="34" t="str">
        <x:v>這是判斷「循環經濟」時要使用的依據。循環經濟從設計、生產、使用到回收讓資源持續運作，不只是末端分類垃圾。</x:v>
      </x:c>
      <x:c r="AD138" s="34" t="str">
        <x:v>這是「問題形成」的重點；本題要判斷的是「循環經濟」，兩者不能互相代替。</x:v>
      </x:c>
      <x:c r="AE138" s="34" t="str">
        <x:v>這項知識屬於「地理配對」，無法支持本題的「循環經濟」判斷。</x:v>
      </x:c>
      <x:c r="AF138" s="34" t="str">
        <x:v>選購時考慮耐用、可修與回收。</x:v>
      </x:c>
    </x:row>
    <x:row r="139" ht="76" customHeight="1">
      <x:c r="A139" s="34" t="str">
        <x:v>5B-U4</x:v>
      </x:c>
      <x:c r="B139" s="34" t="str">
        <x:v>五下</x:v>
      </x:c>
      <x:c r="C139" s="34" t="n">
        <x:v>4</x:v>
      </x:c>
      <x:c r="D139" s="34" t="str">
        <x:v>經濟與生活</x:v>
      </x:c>
      <x:c r="E139" s="34" t="str">
        <x:v>5B-U4-O5</x:v>
      </x:c>
      <x:c r="F139" s="34" t="n">
        <x:v>15</x:v>
      </x:c>
      <x:c r="G139" s="34" t="str">
        <x:v>迷思修正</x:v>
      </x:c>
      <x:c r="H139" s="34" t="str">
        <x:v>有人說：「開採、製造、用一次後掩埋」哪個答案能改正這個說法？</x:v>
      </x:c>
      <x:c r="I139" s="34" t="str">
        <x:v>設計耐用可修產品並回收再製</x:v>
      </x:c>
      <x:c r="J139" s="34" t="str">
        <x:v>用共同指標比較各能源的代價</x:v>
      </x:c>
      <x:c r="K139" s="34" t="str">
        <x:v>風險分配與居民參與需要公平</x:v>
      </x:c>
      <x:c r="L139" s="34" t="str">
        <x:v>比較設置前後的發電、用電與環境</x:v>
      </x:c>
      <x:c r="M139" s="34" t="str">
        <x:v>A</x:v>
      </x:c>
      <x:c r="N139" s="34" t="str">
        <x:v>設計耐用可修產品並回收再製</x:v>
      </x:c>
      <x:c r="O139" s="34" t="str">
        <x:v>循環要從產品出生前開始。</x:v>
      </x:c>
      <x:c r="P139" s="34" t="str">
        <x:v>迷思「開採、製造、用一次後掩埋」的問題，是它沒有處理「企業想把一次性產品改成循環模式」提供的關鍵條件。循環經濟從設計、生產、使用到回收讓資源持續運作，不只是末端分類垃圾。</x:v>
      </x:c>
      <x:c r="Q139" s="34" t="str">
        <x:v>這項選擇成立：設計耐用可修產品並回收再製。它抓住循環經濟的關鍵條件。</x:v>
      </x:c>
      <x:c r="R139" s="34" t="str">
        <x:v>「用共同指標比較各能源的代價」是「能源代價」的重點，但不能回答本題的「循環經濟」。請回看：循環要從產品出生前開始。</x:v>
      </x:c>
      <x:c r="S139" s="34" t="str">
        <x:v>「風險分配與居民參與需要公平」是「環境正義」的重點，但不能回答本題的「循環經濟」。請回看：循環要從產品出生前開始。</x:v>
      </x:c>
      <x:c r="T139" s="34" t="str">
        <x:v>「比較設置前後的發電、用電與環境」是「能源提問」的重點，但不能回答本題的「循環經濟」。請回看：循環要從產品出生前開始。</x:v>
      </x:c>
      <x:c r="U139" s="34" t="str">
        <x:v>判斷正確</x:v>
      </x:c>
      <x:c r="V139" s="34" t="str">
        <x:v>位置錯置</x:v>
      </x:c>
      <x:c r="W139" s="34" t="str">
        <x:v>忽略時空脈絡</x:v>
      </x:c>
      <x:c r="X139" s="34" t="str">
        <x:v>過度概括</x:v>
      </x:c>
      <x:c r="Y139" s="34" t="str">
        <x:v>循環要從產品出生前開始。</x:v>
      </x:c>
      <x:c r="Z139" s="34" t="str">
        <x:v>分析資源、語言、組織與治理</x:v>
      </x:c>
      <x:c r="AA139" s="34" t="str">
        <x:v>比較地形、風浪、泥沙與停靠條件</x:v>
      </x:c>
      <x:c r="AB139" s="34" t="str">
        <x:v>A</x:v>
      </x:c>
      <x:c r="AC139" s="34" t="str">
        <x:v>這是判斷「循環經濟」時要使用的依據。循環經濟從設計、生產、使用到回收讓資源持續運作，不只是末端分類垃圾。</x:v>
      </x:c>
      <x:c r="AD139" s="34" t="str">
        <x:v>這是「族群衝突」的重點；本題要判斷的是「循環經濟」，兩者不能互相代替。</x:v>
      </x:c>
      <x:c r="AE139" s="34" t="str">
        <x:v>這項知識屬於「海岸變遷」，無法支持本題的「循環經濟」判斷。</x:v>
      </x:c>
      <x:c r="AF139" s="34" t="str">
        <x:v>選購時考慮耐用、可修與回收。</x:v>
      </x:c>
    </x:row>
    <x:row r="140" ht="76" customHeight="1">
      <x:c r="A140" s="35" t="str">
        <x:v>5B-U5</x:v>
      </x:c>
      <x:c r="B140" s="35" t="str">
        <x:v>五下</x:v>
      </x:c>
      <x:c r="C140" s="35" t="n">
        <x:v>5</x:v>
      </x:c>
      <x:c r="D140" s="35" t="str">
        <x:v>打造永續的家園</x:v>
      </x:c>
      <x:c r="E140" s="35" t="str">
        <x:v>5B-U5-O1</x:v>
      </x:c>
      <x:c r="F140" s="35" t="n">
        <x:v>1</x:v>
      </x:c>
      <x:c r="G140" s="35" t="str">
        <x:v>情境判斷</x:v>
      </x:c>
      <x:c r="H140" s="35" t="str">
        <x:v>學校屋頂新裝太陽能板。哪個答案最合理？</x:v>
      </x:c>
      <x:c r="I140" s="35" t="str">
        <x:v>比較設置前後的發電、用電與環境</x:v>
      </x:c>
      <x:c r="J140" s="35" t="str">
        <x:v>太陽能是不是唯一好能源</x:v>
      </x:c>
      <x:c r="K140" s="35" t="str">
        <x:v>屋頂顏色哪個最可愛</x:v>
      </x:c>
      <x:c r="L140" s="35" t="str">
        <x:v>比較雙方立場、目的與證據</x:v>
      </x:c>
      <x:c r="M140" s="35" t="str">
        <x:v>A</x:v>
      </x:c>
      <x:c r="N140" s="35" t="str">
        <x:v>比較設置前後的發電、用電與環境</x:v>
      </x:c>
      <x:c r="O140" s="35" t="str">
        <x:v>加入時間、指標與影響面向。</x:v>
      </x:c>
      <x:c r="P140" s="35" t="str">
        <x:v>好問題要能以資料比較效益與影響，而不是先預設唯一答案或問無關細節。</x:v>
      </x:c>
      <x:c r="Q140" s="35" t="str">
        <x:v>判斷精準。「比較設置前後的發電、用電與環境」直接回應能源提問，推論沒有超過資料。</x:v>
      </x:c>
      <x:c r="R140" s="35" t="str">
        <x:v>這項推論缺少證據。請確認：加入時間、指標與影響面向。</x:v>
      </x:c>
      <x:c r="S140" s="35" t="str">
        <x:v>選項和題意關係較弱。提示：加入時間、指標與影響面向。</x:v>
      </x:c>
      <x:c r="T140" s="35" t="str">
        <x:v>「比較雙方立場、目的與證據」是「多元觀點」的重點，但不能回答本題的「能源提問」。請回看：加入時間、指標與影響面向。</x:v>
      </x:c>
      <x:c r="U140" s="35" t="str">
        <x:v>判斷正確</x:v>
      </x:c>
      <x:c r="V140" s="35" t="str">
        <x:v>忽略時空脈絡</x:v>
      </x:c>
      <x:c r="W140" s="35" t="str">
        <x:v>過度概括</x:v>
      </x:c>
      <x:c r="X140" s="35" t="str">
        <x:v>單因推論</x:v>
      </x:c>
      <x:c r="Y140" s="35" t="str">
        <x:v>加入時間、指標與影響面向。</x:v>
      </x:c>
      <x:c r="Z140" s="35" t="str">
        <x:v>通商壓力、物產與航路共同促成開港</x:v>
      </x:c>
      <x:c r="AA140" s="35" t="str">
        <x:v>板塊交界造成多山與地震</x:v>
      </x:c>
      <x:c r="AB140" s="35" t="str">
        <x:v>A</x:v>
      </x:c>
      <x:c r="AC140" s="35" t="str">
        <x:v>這是判斷「能源提問」時要使用的依據。好問題要能以資料比較效益與影響，而不是先預設唯一答案或問無關細節。</x:v>
      </x:c>
      <x:c r="AD140" s="35" t="str">
        <x:v>這是「開港背景」的重點；本題要判斷的是「能源提問」，兩者不能互相代替。</x:v>
      </x:c>
      <x:c r="AE140" s="35" t="str">
        <x:v>這項知識屬於「板塊與地形」，無法支持本題的「能源提問」判斷。</x:v>
      </x:c>
      <x:c r="AF140" s="35" t="str">
        <x:v>從校園現象提出可測量問題。</x:v>
      </x:c>
    </x:row>
    <x:row r="141" ht="76" customHeight="1">
      <x:c r="A141" s="35" t="str">
        <x:v>5B-U5</x:v>
      </x:c>
      <x:c r="B141" s="35" t="str">
        <x:v>五下</x:v>
      </x:c>
      <x:c r="C141" s="35" t="n">
        <x:v>5</x:v>
      </x:c>
      <x:c r="D141" s="35" t="str">
        <x:v>打造永續的家園</x:v>
      </x:c>
      <x:c r="E141" s="35" t="str">
        <x:v>5B-U5-O1</x:v>
      </x:c>
      <x:c r="F141" s="35" t="n">
        <x:v>2</x:v>
      </x:c>
      <x:c r="G141" s="35" t="str">
        <x:v>證據判讀</x:v>
      </x:c>
      <x:c r="H141" s="35" t="str">
        <x:v>哪項資料最能支持「比較設置前後的發電、用電與環境」？</x:v>
      </x:c>
      <x:c r="I141" s="35" t="str">
        <x:v>和題目直接有關的資料</x:v>
      </x:c>
      <x:c r="J141" s="35" t="str">
        <x:v>保存證據，再循正式管道申訴</x:v>
      </x:c>
      <x:c r="K141" s="35" t="str">
        <x:v>查合法性，不投入無法承受的資金</x:v>
      </x:c>
      <x:c r="L141" s="35" t="str">
        <x:v>訂規則、維修配置與歸還責任</x:v>
      </x:c>
      <x:c r="M141" s="35" t="str">
        <x:v>A</x:v>
      </x:c>
      <x:c r="N141" s="35" t="str">
        <x:v>和題目直接有關的資料</x:v>
      </x:c>
      <x:c r="O141" s="35" t="str">
        <x:v>加入時間、指標與影響面向。</x:v>
      </x:c>
      <x:c r="P141" s="35" t="str">
        <x:v>這題檢查的是證據能否直接支持「設置前後發電、用電與校園環境影響如何改變」，不是文字長短或票數。好問題要能以資料比較效益與影響，而不是先預設唯一答案或問無關細節。</x:v>
      </x:c>
      <x:c r="Q141" s="35" t="str">
        <x:v>這項選擇成立：和題目直接有關的資料。它抓住能源提問的關鍵條件。</x:v>
      </x:c>
      <x:c r="R141" s="35" t="str">
        <x:v>「保存證據，再循正式管道申訴」是「消費權益」的重點，但不能回答本題的「能源提問」。請回看：加入時間、指標與影響面向。</x:v>
      </x:c>
      <x:c r="S141" s="35" t="str">
        <x:v>「查合法性，不投入無法承受的資金」是「理財風險」的重點，但不能回答本題的「能源提問」。請回看：加入時間、指標與影響面向。</x:v>
      </x:c>
      <x:c r="T141" s="35" t="str">
        <x:v>「訂規則、維修配置與歸還責任」是「共享資源」的重點，但不能回答本題的「能源提問」。請回看：加入時間、指標與影響面向。</x:v>
      </x:c>
      <x:c r="U141" s="35" t="str">
        <x:v>判斷正確</x:v>
      </x:c>
      <x:c r="V141" s="35" t="str">
        <x:v>過度概括</x:v>
      </x:c>
      <x:c r="W141" s="35" t="str">
        <x:v>單因推論</x:v>
      </x:c>
      <x:c r="X141" s="35" t="str">
        <x:v>證據不足</x:v>
      </x:c>
      <x:c r="Y141" s="35" t="str">
        <x:v>加入時間、指標與影響面向。</x:v>
      </x:c>
      <x:c r="Z141" s="35" t="str">
        <x:v>板塊交界造成多山與地震</x:v>
      </x:c>
      <x:c r="AA141" s="35" t="str">
        <x:v>貿易增加，也改變土地與族群關係</x:v>
      </x:c>
      <x:c r="AB141" s="35" t="str">
        <x:v>A</x:v>
      </x:c>
      <x:c r="AC141" s="35" t="str">
        <x:v>這是判斷「能源提問」時要使用的依據。好問題要能以資料比較效益與影響，而不是先預設唯一答案或問無關細節。</x:v>
      </x:c>
      <x:c r="AD141" s="35" t="str">
        <x:v>這是「板塊與地形」的重點；本題要判斷的是「能源提問」，兩者不能互相代替。</x:v>
      </x:c>
      <x:c r="AE141" s="35" t="str">
        <x:v>這項知識屬於「貿易影響」，無法支持本題的「能源提問」判斷。</x:v>
      </x:c>
      <x:c r="AF141" s="35" t="str">
        <x:v>從校園現象提出可測量問題。</x:v>
      </x:c>
    </x:row>
    <x:row r="142" ht="76" customHeight="1">
      <x:c r="A142" s="35" t="str">
        <x:v>5B-U5</x:v>
      </x:c>
      <x:c r="B142" s="35" t="str">
        <x:v>五下</x:v>
      </x:c>
      <x:c r="C142" s="35" t="n">
        <x:v>5</x:v>
      </x:c>
      <x:c r="D142" s="35" t="str">
        <x:v>打造永續的家園</x:v>
      </x:c>
      <x:c r="E142" s="35" t="str">
        <x:v>5B-U5-O1</x:v>
      </x:c>
      <x:c r="F142" s="35" t="n">
        <x:v>3</x:v>
      </x:c>
      <x:c r="G142" s="35" t="str">
        <x:v>迷思修正</x:v>
      </x:c>
      <x:c r="H142" s="35" t="str">
        <x:v>有人說：「太陽能是不是唯一好能源」哪個答案能改正這個說法？</x:v>
      </x:c>
      <x:c r="I142" s="35" t="str">
        <x:v>比較設置前後的發電、用電與環境</x:v>
      </x:c>
      <x:c r="J142" s="35" t="str">
        <x:v>貿易增加，也改變土地與族群關係</x:v>
      </x:c>
      <x:c r="K142" s="35" t="str">
        <x:v>聚焦特定海岸、時間與不同觀點</x:v>
      </x:c>
      <x:c r="L142" s="35" t="str">
        <x:v>結合檔案、觀察與多方訪談</x:v>
      </x:c>
      <x:c r="M142" s="35" t="str">
        <x:v>A</x:v>
      </x:c>
      <x:c r="N142" s="35" t="str">
        <x:v>比較設置前後的發電、用電與環境</x:v>
      </x:c>
      <x:c r="O142" s="35" t="str">
        <x:v>加入時間、指標與影響面向。</x:v>
      </x:c>
      <x:c r="P142" s="35" t="str">
        <x:v>迷思「太陽能是不是唯一好能源」的問題，是它沒有處理「學校屋頂新裝太陽能板」提供的關鍵條件。好問題要能以資料比較效益與影響，而不是先預設唯一答案或問無關細節。</x:v>
      </x:c>
      <x:c r="Q142" s="35" t="str">
        <x:v>證據吻合。選項「比較設置前後的發電、用電與環境」能把能源提問的線索合理連起來。</x:v>
      </x:c>
      <x:c r="R142" s="35" t="str">
        <x:v>「貿易增加，也改變土地與族群關係」是「貿易影響」的重點，但不能回答本題的「能源提問」。請回看：加入時間、指標與影響面向。</x:v>
      </x:c>
      <x:c r="S142" s="35" t="str">
        <x:v>「聚焦特定海岸、時間與不同觀點」是「問題形成」的重點，但不能回答本題的「能源提問」。請回看：加入時間、指標與影響面向。</x:v>
      </x:c>
      <x:c r="T142" s="35" t="str">
        <x:v>「結合檔案、觀察與多方訪談」是「多元資料」的重點，但不能回答本題的「能源提問」。請回看：加入時間、指標與影響面向。</x:v>
      </x:c>
      <x:c r="U142" s="35" t="str">
        <x:v>判斷正確</x:v>
      </x:c>
      <x:c r="V142" s="35" t="str">
        <x:v>單因推論</x:v>
      </x:c>
      <x:c r="W142" s="35" t="str">
        <x:v>證據不足</x:v>
      </x:c>
      <x:c r="X142" s="35" t="str">
        <x:v>忽略利害關係人</x:v>
      </x:c>
      <x:c r="Y142" s="35" t="str">
        <x:v>加入時間、指標與影響面向。</x:v>
      </x:c>
      <x:c r="Z142" s="35" t="str">
        <x:v>查明進口木材是否來自永續來源</x:v>
      </x:c>
      <x:c r="AA142" s="35" t="str">
        <x:v>外力暴露治理不足，促使政策改變</x:v>
      </x:c>
      <x:c r="AB142" s="35" t="str">
        <x:v>A</x:v>
      </x:c>
      <x:c r="AC142" s="35" t="str">
        <x:v>這是判斷「能源提問」時要使用的依據。好問題要能以資料比較效益與影響，而不是先預設唯一答案或問無關細節。</x:v>
      </x:c>
      <x:c r="AD142" s="35" t="str">
        <x:v>這是「森林供應鏈」的重點；本題要判斷的是「能源提問」，兩者不能互相代替。</x:v>
      </x:c>
      <x:c r="AE142" s="35" t="str">
        <x:v>這項知識屬於「牡丹社事件」，無法支持本題的「能源提問」判斷。</x:v>
      </x:c>
      <x:c r="AF142" s="35" t="str">
        <x:v>從校園現象提出可測量問題。</x:v>
      </x:c>
    </x:row>
    <x:row r="143" ht="76" customHeight="1">
      <x:c r="A143" s="35" t="str">
        <x:v>5B-U5</x:v>
      </x:c>
      <x:c r="B143" s="35" t="str">
        <x:v>五下</x:v>
      </x:c>
      <x:c r="C143" s="35" t="n">
        <x:v>5</x:v>
      </x:c>
      <x:c r="D143" s="35" t="str">
        <x:v>打造永續的家園</x:v>
      </x:c>
      <x:c r="E143" s="35" t="str">
        <x:v>5B-U5-O2</x:v>
      </x:c>
      <x:c r="F143" s="35" t="n">
        <x:v>4</x:v>
      </x:c>
      <x:c r="G143" s="35" t="str">
        <x:v>情境判斷</x:v>
      </x:c>
      <x:c r="H143" s="35" t="str">
        <x:v>探究居民對風力發電的意見。哪個答案最合理？</x:v>
      </x:c>
      <x:c r="I143" s="35" t="str">
        <x:v>訪談多方並搭配噪音與發電資料</x:v>
      </x:c>
      <x:c r="J143" s="35" t="str">
        <x:v>只訪問支持風電者</x:v>
      </x:c>
      <x:c r="K143" s="35" t="str">
        <x:v>只看業者廣告</x:v>
      </x:c>
      <x:c r="L143" s="35" t="str">
        <x:v>生活、機會與政策共同影響移動</x:v>
      </x:c>
      <x:c r="M143" s="35" t="str">
        <x:v>A</x:v>
      </x:c>
      <x:c r="N143" s="35" t="str">
        <x:v>訪談多方並搭配噪音與發電資料</x:v>
      </x:c>
      <x:c r="O143" s="35" t="str">
        <x:v>納入利害關係人，也使用客觀指標。</x:v>
      </x:c>
      <x:c r="P143" s="35" t="str">
        <x:v>多元觀點需配合共同可查的資料，也要注意不同角色受到的影響程度。</x:v>
      </x:c>
      <x:c r="Q143" s="35" t="str">
        <x:v>這項選擇成立：訪談多方並搭配噪音與發電資料。它抓住多元觀點的關鍵條件。</x:v>
      </x:c>
      <x:c r="R143" s="35" t="str">
        <x:v>選項和題意關係較弱。提示：納入利害關係人，也使用客觀指標。</x:v>
      </x:c>
      <x:c r="S143" s="35" t="str">
        <x:v>這裡混淆了條件與結論。提示：納入利害關係人，也使用客觀指標。</x:v>
      </x:c>
      <x:c r="T143" s="35" t="str">
        <x:v>「生活、機會與政策共同影響移動」是「遷移原因」的重點，但不能回答本題的「多元觀點」。請回看：納入利害關係人，也使用客觀指標。</x:v>
      </x:c>
      <x:c r="U143" s="35" t="str">
        <x:v>判斷正確</x:v>
      </x:c>
      <x:c r="V143" s="35" t="str">
        <x:v>過度概括</x:v>
      </x:c>
      <x:c r="W143" s="35" t="str">
        <x:v>單因推論</x:v>
      </x:c>
      <x:c r="X143" s="35" t="str">
        <x:v>證據不足</x:v>
      </x:c>
      <x:c r="Y143" s="35" t="str">
        <x:v>納入受到影響的人，也使用客觀指標。</x:v>
      </x:c>
      <x:c r="Z143" s="35" t="str">
        <x:v>依地理條件發展能源並評估影響</x:v>
      </x:c>
      <x:c r="AA143" s="35" t="str">
        <x:v>相關各方應依資料協商文化與保育</x:v>
      </x:c>
      <x:c r="AB143" s="35" t="str">
        <x:v>A</x:v>
      </x:c>
      <x:c r="AC143" s="35" t="str">
        <x:v>這是判斷「多元觀點」時要使用的依據。多元觀點需配合共同可查的資料，也要注意不同角色受到的影響程度。</x:v>
      </x:c>
      <x:c r="AD143" s="35" t="str">
        <x:v>這是「地理配對」的重點；本題要判斷的是「多元觀點」，兩者不能互相代替。</x:v>
      </x:c>
      <x:c r="AE143" s="35" t="str">
        <x:v>這項知識屬於「權利權衡」，無法支持本題的「多元觀點」判斷。</x:v>
      </x:c>
      <x:c r="AF143" s="35" t="str">
        <x:v>訪談樣本要標記角色與受影響程度。</x:v>
      </x:c>
    </x:row>
    <x:row r="144" ht="76" customHeight="1">
      <x:c r="A144" s="35" t="str">
        <x:v>5B-U5</x:v>
      </x:c>
      <x:c r="B144" s="35" t="str">
        <x:v>五下</x:v>
      </x:c>
      <x:c r="C144" s="35" t="n">
        <x:v>5</x:v>
      </x:c>
      <x:c r="D144" s="35" t="str">
        <x:v>打造永續的家園</x:v>
      </x:c>
      <x:c r="E144" s="35" t="str">
        <x:v>5B-U5-O2</x:v>
      </x:c>
      <x:c r="F144" s="35" t="n">
        <x:v>5</x:v>
      </x:c>
      <x:c r="G144" s="35" t="str">
        <x:v>證據判讀</x:v>
      </x:c>
      <x:c r="H144" s="35" t="str">
        <x:v>哪項資料最能支持「訪談多方並搭配噪音與發電資料」？</x:v>
      </x:c>
      <x:c r="I144" s="35" t="str">
        <x:v>和題目直接有關的資料</x:v>
      </x:c>
      <x:c r="J144" s="35" t="str">
        <x:v>分族查資料，再比較文化異同</x:v>
      </x:c>
      <x:c r="K144" s="35" t="str">
        <x:v>環境、季節與歷史共同影響生活</x:v>
      </x:c>
      <x:c r="L144" s="35" t="str">
        <x:v>規範與法律的形成及強制力不同</x:v>
      </x:c>
      <x:c r="M144" s="35" t="str">
        <x:v>A</x:v>
      </x:c>
      <x:c r="N144" s="35" t="str">
        <x:v>和題目直接有關的資料</x:v>
      </x:c>
      <x:c r="O144" s="35" t="str">
        <x:v>納入利害關係人，也使用客觀指標。</x:v>
      </x:c>
      <x:c r="P144" s="35" t="str">
        <x:v>這題檢查的是證據能否直接支持「訪談不同距離居民、業者與專家，搭配噪音和發電資料」，不是文字長短或票數。多元觀點需配合共同可查的資料，也要注意不同角色受到的影響程度。</x:v>
      </x:c>
      <x:c r="Q144" s="35" t="str">
        <x:v>證據吻合。選項「和題目直接有關的資料」能把多元觀點的線索合理連起來。</x:v>
      </x:c>
      <x:c r="R144" s="35" t="str">
        <x:v>「分族查資料，再比較文化異同」是「文化多樣性」的重點，但不能回答本題的「多元觀點」。請回看：納入利害關係人，也使用客觀指標。</x:v>
      </x:c>
      <x:c r="S144" s="35" t="str">
        <x:v>「環境、季節與歷史共同影響生活」是「環境與生活」的重點，但不能回答本題的「多元觀點」。請回看：納入利害關係人，也使用客觀指標。</x:v>
      </x:c>
      <x:c r="T144" s="35" t="str">
        <x:v>「規範與法律的形成及強制力不同」是「規範與法律」的重點，但不能回答本題的「多元觀點」。請回看：納入利害關係人，也使用客觀指標。</x:v>
      </x:c>
      <x:c r="U144" s="35" t="str">
        <x:v>判斷正確</x:v>
      </x:c>
      <x:c r="V144" s="35" t="str">
        <x:v>單因推論</x:v>
      </x:c>
      <x:c r="W144" s="35" t="str">
        <x:v>證據不足</x:v>
      </x:c>
      <x:c r="X144" s="35" t="str">
        <x:v>忽略利害關係人</x:v>
      </x:c>
      <x:c r="Y144" s="35" t="str">
        <x:v>納入受到影響的人，也使用客觀指標。</x:v>
      </x:c>
      <x:c r="Z144" s="35" t="str">
        <x:v>設禁漁期、尺寸限制並協助轉型</x:v>
      </x:c>
      <x:c r="AA144" s="35" t="str">
        <x:v>港市帶動文化，但各族群影響不同</x:v>
      </x:c>
      <x:c r="AB144" s="35" t="str">
        <x:v>A</x:v>
      </x:c>
      <x:c r="AC144" s="35" t="str">
        <x:v>這是判斷「多元觀點」時要使用的依據。多元觀點需配合共同可查的資料，也要注意不同角色受到的影響程度。</x:v>
      </x:c>
      <x:c r="AD144" s="35" t="str">
        <x:v>這是「永續漁業」的重點；本題要判斷的是「多元觀點」，兩者不能互相代替。</x:v>
      </x:c>
      <x:c r="AE144" s="35" t="str">
        <x:v>這項知識屬於「港市與文化」，無法支持本題的「多元觀點」判斷。</x:v>
      </x:c>
      <x:c r="AF144" s="35" t="str">
        <x:v>訪談樣本要標記角色與受影響程度。</x:v>
      </x:c>
    </x:row>
    <x:row r="145" ht="76" customHeight="1">
      <x:c r="A145" s="35" t="str">
        <x:v>5B-U5</x:v>
      </x:c>
      <x:c r="B145" s="35" t="str">
        <x:v>五下</x:v>
      </x:c>
      <x:c r="C145" s="35" t="n">
        <x:v>5</x:v>
      </x:c>
      <x:c r="D145" s="35" t="str">
        <x:v>打造永續的家園</x:v>
      </x:c>
      <x:c r="E145" s="35" t="str">
        <x:v>5B-U5-O2</x:v>
      </x:c>
      <x:c r="F145" s="35" t="n">
        <x:v>6</x:v>
      </x:c>
      <x:c r="G145" s="35" t="str">
        <x:v>迷思修正</x:v>
      </x:c>
      <x:c r="H145" s="35" t="str">
        <x:v>有人說：「只訪問支持風電者」哪個答案能改正這個說法？</x:v>
      </x:c>
      <x:c r="I145" s="35" t="str">
        <x:v>訪談多方並搭配噪音與發電資料</x:v>
      </x:c>
      <x:c r="J145" s="35" t="str">
        <x:v>分析資源、語言、組織與治理</x:v>
      </x:c>
      <x:c r="K145" s="35" t="str">
        <x:v>港市帶動文化，但各族群影響不同</x:v>
      </x:c>
      <x:c r="L145" s="35" t="str">
        <x:v>通商壓力、物產與航路共同促成開港</x:v>
      </x:c>
      <x:c r="M145" s="35" t="str">
        <x:v>A</x:v>
      </x:c>
      <x:c r="N145" s="35" t="str">
        <x:v>訪談多方並搭配噪音與發電資料</x:v>
      </x:c>
      <x:c r="O145" s="35" t="str">
        <x:v>納入利害關係人，也使用客觀指標。</x:v>
      </x:c>
      <x:c r="P145" s="35" t="str">
        <x:v>迷思「只訪問支持風電者」的問題，是它沒有處理「探究居民對風力發電的意見」提供的關鍵條件。多元觀點需配合共同可查的資料，也要注意不同角色受到的影響程度。</x:v>
      </x:c>
      <x:c r="Q145" s="35" t="str">
        <x:v>答對了；「訪談多方並搭配噪音與發電資料」同時保留了多元觀點需要的範圍與限制。</x:v>
      </x:c>
      <x:c r="R145" s="35" t="str">
        <x:v>「分析資源、語言、組織與治理」是「族群衝突」的重點，但不能回答本題的「多元觀點」。請回看：納入利害關係人，也使用客觀指標。</x:v>
      </x:c>
      <x:c r="S145" s="35" t="str">
        <x:v>「港市帶動文化，但各族群影響不同」是「港市與文化」的重點，但不能回答本題的「多元觀點」。請回看：納入利害關係人，也使用客觀指標。</x:v>
      </x:c>
      <x:c r="T145" s="35" t="str">
        <x:v>「通商壓力、物產與航路共同促成開港」是「開港背景」的重點，但不能回答本題的「多元觀點」。請回看：納入利害關係人，也使用客觀指標。</x:v>
      </x:c>
      <x:c r="U145" s="35" t="str">
        <x:v>判斷正確</x:v>
      </x:c>
      <x:c r="V145" s="35" t="str">
        <x:v>證據不足</x:v>
      </x:c>
      <x:c r="W145" s="35" t="str">
        <x:v>忽略利害關係人</x:v>
      </x:c>
      <x:c r="X145" s="35" t="str">
        <x:v>把意見當證據</x:v>
      </x:c>
      <x:c r="Y145" s="35" t="str">
        <x:v>納入受到影響的人，也使用客觀指標。</x:v>
      </x:c>
      <x:c r="Z145" s="35" t="str">
        <x:v>聚焦特定海岸、時間與不同觀點</x:v>
      </x:c>
      <x:c r="AA145" s="35" t="str">
        <x:v>停止交易並改用官方查證與付款</x:v>
      </x:c>
      <x:c r="AB145" s="35" t="str">
        <x:v>A</x:v>
      </x:c>
      <x:c r="AC145" s="35" t="str">
        <x:v>這是判斷「多元觀點」時要使用的依據。多元觀點需配合共同可查的資料，也要注意不同角色受到的影響程度。</x:v>
      </x:c>
      <x:c r="AD145" s="35" t="str">
        <x:v>這是「問題形成」的重點；本題要判斷的是「多元觀點」，兩者不能互相代替。</x:v>
      </x:c>
      <x:c r="AE145" s="35" t="str">
        <x:v>這項知識屬於「消費安全」，無法支持本題的「多元觀點」判斷。</x:v>
      </x:c>
      <x:c r="AF145" s="35" t="str">
        <x:v>訪談樣本要標記角色與受影響程度。</x:v>
      </x:c>
    </x:row>
    <x:row r="146" ht="76" customHeight="1">
      <x:c r="A146" s="35" t="str">
        <x:v>5B-U5</x:v>
      </x:c>
      <x:c r="B146" s="35" t="str">
        <x:v>五下</x:v>
      </x:c>
      <x:c r="C146" s="35" t="n">
        <x:v>5</x:v>
      </x:c>
      <x:c r="D146" s="35" t="str">
        <x:v>打造永續的家園</x:v>
      </x:c>
      <x:c r="E146" s="35" t="str">
        <x:v>5B-U5-O3</x:v>
      </x:c>
      <x:c r="F146" s="35" t="n">
        <x:v>7</x:v>
      </x:c>
      <x:c r="G146" s="35" t="str">
        <x:v>情境判斷</x:v>
      </x:c>
      <x:c r="H146" s="35" t="str">
        <x:v>太陽能方案有減排效益，也有土地與廢板處理問題。哪個答案最合理？</x:v>
      </x:c>
      <x:c r="I146" s="35" t="str">
        <x:v>比較對象、程度、證據與改善方法</x:v>
      </x:c>
      <x:c r="J146" s="35" t="str">
        <x:v>填滿兩欄就宣布唯一答案</x:v>
      </x:c>
      <x:c r="K146" s="35" t="str">
        <x:v>刪掉缺點欄才能推動綠能</x:v>
      </x:c>
      <x:c r="L146" s="35" t="str">
        <x:v>依能源補充性與環境特性分類</x:v>
      </x:c>
      <x:c r="M146" s="35" t="str">
        <x:v>A</x:v>
      </x:c>
      <x:c r="N146" s="35" t="str">
        <x:v>比較對象、程度、證據與改善方法</x:v>
      </x:c>
      <x:c r="O146" s="35" t="str">
        <x:v>追問多大、對誰、多久、如何改善。</x:v>
      </x:c>
      <x:c r="P146" s="35" t="str">
        <x:v>優缺點數量不等於重要性，還需判斷影響多大、落在誰身上與能否降低。</x:v>
      </x:c>
      <x:c r="Q146" s="35" t="str">
        <x:v>證據吻合。選項「比較對象、程度、證據與改善方法」能把分析權衡的線索合理連起來。</x:v>
      </x:c>
      <x:c r="R146" s="35" t="str">
        <x:v>這裡混淆了條件與結論。提示：追問多大、對誰、多久、如何改善。</x:v>
      </x:c>
      <x:c r="S146" s="35" t="str">
        <x:v>這項判斷忽略重要限制。請想想：追問多大、對誰、多久、如何改善。</x:v>
      </x:c>
      <x:c r="T146" s="35" t="str">
        <x:v>「依能源補充性與環境特性分類」是「能源分類」的重點，但不能回答本題的「分析權衡」。請回看：追問多大、對誰、多久、如何改善。</x:v>
      </x:c>
      <x:c r="U146" s="35" t="str">
        <x:v>判斷正確</x:v>
      </x:c>
      <x:c r="V146" s="35" t="str">
        <x:v>單因推論</x:v>
      </x:c>
      <x:c r="W146" s="35" t="str">
        <x:v>證據不足</x:v>
      </x:c>
      <x:c r="X146" s="35" t="str">
        <x:v>忽略利害關係人</x:v>
      </x:c>
      <x:c r="Y146" s="35" t="str">
        <x:v>追問多大、對誰、多久、如何改善。</x:v>
      </x:c>
      <x:c r="Z146" s="35" t="str">
        <x:v>設計耐用可修產品並回收再製</x:v>
      </x:c>
      <x:c r="AA146" s="35" t="str">
        <x:v>臺灣鄰近航路，利於貿易競爭</x:v>
      </x:c>
      <x:c r="AB146" s="35" t="str">
        <x:v>A</x:v>
      </x:c>
      <x:c r="AC146" s="35" t="str">
        <x:v>這是判斷「分析權衡」時要使用的依據。優缺點數量不等於重要性，還需判斷影響多大、落在誰身上與能否降低。</x:v>
      </x:c>
      <x:c r="AD146" s="35" t="str">
        <x:v>這是「循環經濟」的重點；本題要判斷的是「分析權衡」，兩者不能互相代替。</x:v>
      </x:c>
      <x:c r="AE146" s="35" t="str">
        <x:v>這項知識屬於「航海動機」，無法支持本題的「分析權衡」判斷。</x:v>
      </x:c>
      <x:c r="AF146" s="35" t="str">
        <x:v>比較方案時加入指標與權重。</x:v>
      </x:c>
    </x:row>
    <x:row r="147" ht="76" customHeight="1">
      <x:c r="A147" s="35" t="str">
        <x:v>5B-U5</x:v>
      </x:c>
      <x:c r="B147" s="35" t="str">
        <x:v>五下</x:v>
      </x:c>
      <x:c r="C147" s="35" t="n">
        <x:v>5</x:v>
      </x:c>
      <x:c r="D147" s="35" t="str">
        <x:v>打造永續的家園</x:v>
      </x:c>
      <x:c r="E147" s="35" t="str">
        <x:v>5B-U5-O3</x:v>
      </x:c>
      <x:c r="F147" s="35" t="n">
        <x:v>8</x:v>
      </x:c>
      <x:c r="G147" s="35" t="str">
        <x:v>證據判讀</x:v>
      </x:c>
      <x:c r="H147" s="35" t="str">
        <x:v>哪項資料最能支持「比較對象、程度、證據與改善方法」？</x:v>
      </x:c>
      <x:c r="I147" s="35" t="str">
        <x:v>和題目直接有關的資料</x:v>
      </x:c>
      <x:c r="J147" s="35" t="str">
        <x:v>長期追蹤保存、參與、就業與環境</x:v>
      </x:c>
      <x:c r="K147" s="35" t="str">
        <x:v>泥沙堆積使船難進出，港口轉移</x:v>
      </x:c>
      <x:c r="L147" s="35" t="str">
        <x:v>臺灣鄰近航路，利於貿易競爭</x:v>
      </x:c>
      <x:c r="M147" s="35" t="str">
        <x:v>A</x:v>
      </x:c>
      <x:c r="N147" s="35" t="str">
        <x:v>和題目直接有關的資料</x:v>
      </x:c>
      <x:c r="O147" s="35" t="str">
        <x:v>追問多大、對誰、多久、如何改善。</x:v>
      </x:c>
      <x:c r="P147" s="35" t="str">
        <x:v>這題檢查的是證據能否直接支持「比較影響對象、程度、證據強度與可改善方式」，不是文字長短或票數。優缺點數量不等於重要性，還需判斷影響多大、落在誰身上與能否降低。</x:v>
      </x:c>
      <x:c r="Q147" s="35" t="str">
        <x:v>答對了；「和題目直接有關的資料」同時保留了分析權衡需要的範圍與限制。</x:v>
      </x:c>
      <x:c r="R147" s="35" t="str">
        <x:v>「長期追蹤保存、參與、就業與環境」是「地方轉型」的重點，但不能回答本題的「分析權衡」。請回看：追問多大、對誰、多久、如何改善。</x:v>
      </x:c>
      <x:c r="S147" s="35" t="str">
        <x:v>「泥沙堆積使船難進出，港口轉移」是「潟湖與港口」的重點，但不能回答本題的「分析權衡」。請回看：追問多大、對誰、多久、如何改善。</x:v>
      </x:c>
      <x:c r="T147" s="35" t="str">
        <x:v>「臺灣鄰近航路，利於貿易競爭」是「航海動機」的重點，但不能回答本題的「分析權衡」。請回看：追問多大、對誰、多久、如何改善。</x:v>
      </x:c>
      <x:c r="U147" s="35" t="str">
        <x:v>判斷正確</x:v>
      </x:c>
      <x:c r="V147" s="35" t="str">
        <x:v>證據不足</x:v>
      </x:c>
      <x:c r="W147" s="35" t="str">
        <x:v>忽略利害關係人</x:v>
      </x:c>
      <x:c r="X147" s="35" t="str">
        <x:v>把意見當證據</x:v>
      </x:c>
      <x:c r="Y147" s="35" t="str">
        <x:v>追問多大、對誰、多久、如何改善。</x:v>
      </x:c>
      <x:c r="Z147" s="35" t="str">
        <x:v>貿易增加，也改變土地與族群關係</x:v>
      </x:c>
      <x:c r="AA147" s="35" t="str">
        <x:v>依能源補充性與環境特性分類</x:v>
      </x:c>
      <x:c r="AB147" s="35" t="str">
        <x:v>A</x:v>
      </x:c>
      <x:c r="AC147" s="35" t="str">
        <x:v>這是判斷「分析權衡」時要使用的依據。優缺點數量不等於重要性，還需判斷影響多大、落在誰身上與能否降低。</x:v>
      </x:c>
      <x:c r="AD147" s="35" t="str">
        <x:v>這是「貿易影響」的重點；本題要判斷的是「分析權衡」，兩者不能互相代替。</x:v>
      </x:c>
      <x:c r="AE147" s="35" t="str">
        <x:v>這項知識屬於「能源分類」，無法支持本題的「分析權衡」判斷。</x:v>
      </x:c>
      <x:c r="AF147" s="35" t="str">
        <x:v>比較方案時加入指標與權重。</x:v>
      </x:c>
    </x:row>
    <x:row r="148" ht="76" customHeight="1">
      <x:c r="A148" s="35" t="str">
        <x:v>5B-U5</x:v>
      </x:c>
      <x:c r="B148" s="35" t="str">
        <x:v>五下</x:v>
      </x:c>
      <x:c r="C148" s="35" t="n">
        <x:v>5</x:v>
      </x:c>
      <x:c r="D148" s="35" t="str">
        <x:v>打造永續的家園</x:v>
      </x:c>
      <x:c r="E148" s="35" t="str">
        <x:v>5B-U5-O3</x:v>
      </x:c>
      <x:c r="F148" s="35" t="n">
        <x:v>9</x:v>
      </x:c>
      <x:c r="G148" s="35" t="str">
        <x:v>迷思修正</x:v>
      </x:c>
      <x:c r="H148" s="35" t="str">
        <x:v>有人說：「填滿兩欄就宣布唯一答案」哪個答案能改正這個說法？</x:v>
      </x:c>
      <x:c r="I148" s="35" t="str">
        <x:v>比較對象、程度、證據與改善方法</x:v>
      </x:c>
      <x:c r="J148" s="35" t="str">
        <x:v>依地理條件發展能源並評估影響</x:v>
      </x:c>
      <x:c r="K148" s="35" t="str">
        <x:v>用共同指標比較各能源的代價</x:v>
      </x:c>
      <x:c r="L148" s="35" t="str">
        <x:v>風險分配與居民參與需要公平</x:v>
      </x:c>
      <x:c r="M148" s="35" t="str">
        <x:v>A</x:v>
      </x:c>
      <x:c r="N148" s="35" t="str">
        <x:v>比較對象、程度、證據與改善方法</x:v>
      </x:c>
      <x:c r="O148" s="35" t="str">
        <x:v>追問多大、對誰、多久、如何改善。</x:v>
      </x:c>
      <x:c r="P148" s="35" t="str">
        <x:v>迷思「填滿兩欄就宣布唯一答案」的問題，是它沒有處理「太陽能方案有減排效益，也有土地與廢板處理問題」提供的關鍵條件。優缺點數量不等於重要性，還需判斷影響多大、落在誰身上與能否降低。</x:v>
      </x:c>
      <x:c r="Q148" s="35" t="str">
        <x:v>你的判讀可被查證：比較對象、程度、證據與改善方法。這正是分析權衡要比較的核心。</x:v>
      </x:c>
      <x:c r="R148" s="35" t="str">
        <x:v>「依地理條件發展能源並評估影響」是「地理配對」的重點，但不能回答本題的「分析權衡」。請回看：追問多大、對誰、多久、如何改善。</x:v>
      </x:c>
      <x:c r="S148" s="35" t="str">
        <x:v>「用共同指標比較各能源的代價」是「能源代價」的重點，但不能回答本題的「分析權衡」。請回看：追問多大、對誰、多久、如何改善。</x:v>
      </x:c>
      <x:c r="T148" s="35" t="str">
        <x:v>「風險分配與居民參與需要公平」是「環境正義」的重點，但不能回答本題的「分析權衡」。請回看：追問多大、對誰、多久、如何改善。</x:v>
      </x:c>
      <x:c r="U148" s="35" t="str">
        <x:v>判斷正確</x:v>
      </x:c>
      <x:c r="V148" s="35" t="str">
        <x:v>忽略利害關係人</x:v>
      </x:c>
      <x:c r="W148" s="35" t="str">
        <x:v>把意見當證據</x:v>
      </x:c>
      <x:c r="X148" s="35" t="str">
        <x:v>位置錯置</x:v>
      </x:c>
      <x:c r="Y148" s="35" t="str">
        <x:v>追問多大、對誰、多久、如何改善。</x:v>
      </x:c>
      <x:c r="Z148" s="35" t="str">
        <x:v>生活、機會與政策共同影響移動</x:v>
      </x:c>
      <x:c r="AA148" s="35" t="str">
        <x:v>板塊交界造成多山與地震</x:v>
      </x:c>
      <x:c r="AB148" s="35" t="str">
        <x:v>A</x:v>
      </x:c>
      <x:c r="AC148" s="35" t="str">
        <x:v>這是判斷「分析權衡」時要使用的依據。優缺點數量不等於重要性，還需判斷影響多大、落在誰身上與能否降低。</x:v>
      </x:c>
      <x:c r="AD148" s="35" t="str">
        <x:v>這是「遷移原因」的重點；本題要判斷的是「分析權衡」，兩者不能互相代替。</x:v>
      </x:c>
      <x:c r="AE148" s="35" t="str">
        <x:v>這項知識屬於「板塊與地形」，無法支持本題的「分析權衡」判斷。</x:v>
      </x:c>
      <x:c r="AF148" s="35" t="str">
        <x:v>比較方案時加入指標與權重。</x:v>
      </x:c>
    </x:row>
    <x:row r="149" ht="76" customHeight="1">
      <x:c r="A149" s="35" t="str">
        <x:v>5B-U5</x:v>
      </x:c>
      <x:c r="B149" s="35" t="str">
        <x:v>五下</x:v>
      </x:c>
      <x:c r="C149" s="35" t="n">
        <x:v>5</x:v>
      </x:c>
      <x:c r="D149" s="35" t="str">
        <x:v>打造永續的家園</x:v>
      </x:c>
      <x:c r="E149" s="35" t="str">
        <x:v>5B-U5-O4</x:v>
      </x:c>
      <x:c r="F149" s="35" t="n">
        <x:v>10</x:v>
      </x:c>
      <x:c r="G149" s="35" t="str">
        <x:v>情境判斷</x:v>
      </x:c>
      <x:c r="H149" s="35" t="str">
        <x:v>小組對能源方案立場不同。哪個答案最合理？</x:v>
      </x:c>
      <x:c r="I149" s="35" t="str">
        <x:v>用共同目標與相同標準調整方案</x:v>
      </x:c>
      <x:c r="J149" s="35" t="str">
        <x:v>讓說話最大聲的人決定</x:v>
      </x:c>
      <x:c r="K149" s="35" t="str">
        <x:v>投票後刪除少數意見</x:v>
      </x:c>
      <x:c r="L149" s="35" t="str">
        <x:v>臺灣是遷徙與交流的中繼點</x:v>
      </x:c>
      <x:c r="M149" s="35" t="str">
        <x:v>A</x:v>
      </x:c>
      <x:c r="N149" s="35" t="str">
        <x:v>用共同目標與相同標準調整方案</x:v>
      </x:c>
      <x:c r="O149" s="35" t="str">
        <x:v>先找共同目標，再處理分歧。</x:v>
      </x:c>
      <x:c r="P149" s="35" t="str">
        <x:v>共識不是消除不同，而是在透明標準下找可接受方案並保留檢討空間。</x:v>
      </x:c>
      <x:c r="Q149" s="35" t="str">
        <x:v>答對了；「用共同目標與相同標準調整方案」同時保留了共識與程序需要的範圍與限制。</x:v>
      </x:c>
      <x:c r="R149" s="35" t="str">
        <x:v>這項判斷忽略重要限制。請想想：先找共同目標，再處理分歧。</x:v>
      </x:c>
      <x:c r="S149" s="35" t="str">
        <x:v>焦點放錯了。請回看：先找共同目標，再處理分歧。</x:v>
      </x:c>
      <x:c r="T149" s="35" t="str">
        <x:v>「臺灣是遷徙與交流的中繼點」是「位置與交流」的重點，但不能回答本題的「共識與程序」。請回看：先找共同目標，再處理分歧。</x:v>
      </x:c>
      <x:c r="U149" s="35" t="str">
        <x:v>判斷正確</x:v>
      </x:c>
      <x:c r="V149" s="35" t="str">
        <x:v>證據不足</x:v>
      </x:c>
      <x:c r="W149" s="35" t="str">
        <x:v>忽略利害關係人</x:v>
      </x:c>
      <x:c r="X149" s="35" t="str">
        <x:v>把意見當證據</x:v>
      </x:c>
      <x:c r="Y149" s="35" t="str">
        <x:v>先找共同目標，再處理分歧。</x:v>
      </x:c>
      <x:c r="Z149" s="35" t="str">
        <x:v>規範與法律的形成及強制力不同</x:v>
      </x:c>
      <x:c r="AA149" s="35" t="str">
        <x:v>查紀錄、調方法，再用同指標測量</x:v>
      </x:c>
      <x:c r="AB149" s="35" t="str">
        <x:v>A</x:v>
      </x:c>
      <x:c r="AC149" s="35" t="str">
        <x:v>這是判斷「共識與程序」時要使用的依據。共識不是消除不同，而是在透明標準下找可接受方案並保留檢討空間。</x:v>
      </x:c>
      <x:c r="AD149" s="35" t="str">
        <x:v>這是「規範與法律」的重點；本題要判斷的是「共識與程序」，兩者不能互相代替。</x:v>
      </x:c>
      <x:c r="AE149" s="35" t="str">
        <x:v>這項知識屬於「行動省思」，無法支持本題的「共識與程序」判斷。</x:v>
      </x:c>
      <x:c r="AF149" s="35" t="str">
        <x:v>班級決策要記錄少數意見和檢討時間。</x:v>
      </x:c>
    </x:row>
    <x:row r="150" ht="76" customHeight="1">
      <x:c r="A150" s="35" t="str">
        <x:v>5B-U5</x:v>
      </x:c>
      <x:c r="B150" s="35" t="str">
        <x:v>五下</x:v>
      </x:c>
      <x:c r="C150" s="35" t="n">
        <x:v>5</x:v>
      </x:c>
      <x:c r="D150" s="35" t="str">
        <x:v>打造永續的家園</x:v>
      </x:c>
      <x:c r="E150" s="35" t="str">
        <x:v>5B-U5-O4</x:v>
      </x:c>
      <x:c r="F150" s="35" t="n">
        <x:v>11</x:v>
      </x:c>
      <x:c r="G150" s="35" t="str">
        <x:v>證據判讀</x:v>
      </x:c>
      <x:c r="H150" s="35" t="str">
        <x:v>哪項資料最能支持「用共同目標與相同標準調整方案」？</x:v>
      </x:c>
      <x:c r="I150" s="35" t="str">
        <x:v>和題目直接有關的資料</x:v>
      </x:c>
      <x:c r="J150" s="35" t="str">
        <x:v>限定結論範圍並說明調查限制</x:v>
      </x:c>
      <x:c r="K150" s="35" t="str">
        <x:v>查紀錄、調方法，再用同指標測量</x:v>
      </x:c>
      <x:c r="L150" s="35" t="str">
        <x:v>季風影響航程與風險，但不保證安全</x:v>
      </x:c>
      <x:c r="M150" s="35" t="str">
        <x:v>A</x:v>
      </x:c>
      <x:c r="N150" s="35" t="str">
        <x:v>和題目直接有關的資料</x:v>
      </x:c>
      <x:c r="O150" s="35" t="str">
        <x:v>先找共同目標，再處理分歧。</x:v>
      </x:c>
      <x:c r="P150" s="35" t="str">
        <x:v>這題檢查的是證據能否直接支持「確認共同目標，用相同證據標準比較，再調整方案與補救」，不是文字長短或票數。共識不是消除不同，而是在透明標準下找可接受方案並保留檢討空間。</x:v>
      </x:c>
      <x:c r="Q150" s="35" t="str">
        <x:v>你的判讀可被查證：和題目直接有關的資料。這正是共識與程序要比較的核心。</x:v>
      </x:c>
      <x:c r="R150" s="35" t="str">
        <x:v>「限定結論範圍並說明調查限制」是「結論界線」的重點，但不能回答本題的「共識與程序」。請回看：先找共同目標，再處理分歧。</x:v>
      </x:c>
      <x:c r="S150" s="35" t="str">
        <x:v>「查紀錄、調方法，再用同指標測量」是「行動省思」的重點，但不能回答本題的「共識與程序」。請回看：先找共同目標，再處理分歧。</x:v>
      </x:c>
      <x:c r="T150" s="35" t="str">
        <x:v>「季風影響航程與風險，但不保證安全」是「移民與季風」的重點，但不能回答本題的「共識與程序」。請回看：先找共同目標，再處理分歧。</x:v>
      </x:c>
      <x:c r="U150" s="35" t="str">
        <x:v>判斷正確</x:v>
      </x:c>
      <x:c r="V150" s="35" t="str">
        <x:v>忽略利害關係人</x:v>
      </x:c>
      <x:c r="W150" s="35" t="str">
        <x:v>把意見當證據</x:v>
      </x:c>
      <x:c r="X150" s="35" t="str">
        <x:v>位置錯置</x:v>
      </x:c>
      <x:c r="Y150" s="35" t="str">
        <x:v>先找共同目標，再處理分歧。</x:v>
      </x:c>
      <x:c r="Z150" s="35" t="str">
        <x:v>合作修水圳，訂分水與維修規則</x:v>
      </x:c>
      <x:c r="AA150" s="35" t="str">
        <x:v>訂規則、維修配置與歸還責任</x:v>
      </x:c>
      <x:c r="AB150" s="35" t="str">
        <x:v>A</x:v>
      </x:c>
      <x:c r="AC150" s="35" t="str">
        <x:v>這是判斷「共識與程序」時要使用的依據。共識不是消除不同，而是在透明標準下找可接受方案並保留檢討空間。</x:v>
      </x:c>
      <x:c r="AD150" s="35" t="str">
        <x:v>這是「水利開墾」的重點；本題要判斷的是「共識與程序」，兩者不能互相代替。</x:v>
      </x:c>
      <x:c r="AE150" s="35" t="str">
        <x:v>這項知識屬於「共享資源」，無法支持本題的「共識與程序」判斷。</x:v>
      </x:c>
      <x:c r="AF150" s="35" t="str">
        <x:v>班級決策要記錄少數意見和檢討時間。</x:v>
      </x:c>
    </x:row>
    <x:row r="151" ht="76" customHeight="1">
      <x:c r="A151" s="35" t="str">
        <x:v>5B-U5</x:v>
      </x:c>
      <x:c r="B151" s="35" t="str">
        <x:v>五下</x:v>
      </x:c>
      <x:c r="C151" s="35" t="n">
        <x:v>5</x:v>
      </x:c>
      <x:c r="D151" s="35" t="str">
        <x:v>打造永續的家園</x:v>
      </x:c>
      <x:c r="E151" s="35" t="str">
        <x:v>5B-U5-O4</x:v>
      </x:c>
      <x:c r="F151" s="35" t="n">
        <x:v>12</x:v>
      </x:c>
      <x:c r="G151" s="35" t="str">
        <x:v>迷思修正</x:v>
      </x:c>
      <x:c r="H151" s="35" t="str">
        <x:v>有人說：「讓說話最大聲的人決定」哪個答案能改正這個說法？</x:v>
      </x:c>
      <x:c r="I151" s="35" t="str">
        <x:v>用共同目標與相同標準調整方案</x:v>
      </x:c>
      <x:c r="J151" s="35" t="str">
        <x:v>選能看見臺灣、鄰國與航線的區域圖</x:v>
      </x:c>
      <x:c r="K151" s="35" t="str">
        <x:v>板塊交界造成多山與地震</x:v>
      </x:c>
      <x:c r="L151" s="35" t="str">
        <x:v>比較地形、風浪、泥沙與停靠條件</x:v>
      </x:c>
      <x:c r="M151" s="35" t="str">
        <x:v>A</x:v>
      </x:c>
      <x:c r="N151" s="35" t="str">
        <x:v>用共同目標與相同標準調整方案</x:v>
      </x:c>
      <x:c r="O151" s="35" t="str">
        <x:v>先找共同目標，再處理分歧。</x:v>
      </x:c>
      <x:c r="P151" s="35" t="str">
        <x:v>迷思「讓說話最大聲的人決定」的問題，是它沒有處理「小組對能源方案立場不同」提供的關鍵條件。共識不是消除不同，而是在透明標準下找可接受方案並保留檢討空間。</x:v>
      </x:c>
      <x:c r="Q151" s="35" t="str">
        <x:v>判斷精準。「用共同目標與相同標準調整方案」直接回應共識與程序，推論沒有超過資料。</x:v>
      </x:c>
      <x:c r="R151" s="35" t="str">
        <x:v>「選能看見臺灣、鄰國與航線的區域圖」是「地圖尺度」的重點，但不能回答本題的「共識與程序」。請回看：先找共同目標，再處理分歧。</x:v>
      </x:c>
      <x:c r="S151" s="35" t="str">
        <x:v>「板塊交界造成多山與地震」是「板塊與地形」的重點，但不能回答本題的「共識與程序」。請回看：先找共同目標，再處理分歧。</x:v>
      </x:c>
      <x:c r="T151" s="35" t="str">
        <x:v>「比較地形、風浪、泥沙與停靠條件」是「海岸變遷」的重點，但不能回答本題的「共識與程序」。請回看：先找共同目標，再處理分歧。</x:v>
      </x:c>
      <x:c r="U151" s="35" t="str">
        <x:v>判斷正確</x:v>
      </x:c>
      <x:c r="V151" s="35" t="str">
        <x:v>把意見當證據</x:v>
      </x:c>
      <x:c r="W151" s="35" t="str">
        <x:v>位置錯置</x:v>
      </x:c>
      <x:c r="X151" s="35" t="str">
        <x:v>忽略時空脈絡</x:v>
      </x:c>
      <x:c r="Y151" s="35" t="str">
        <x:v>先找共同目標，再處理分歧。</x:v>
      </x:c>
      <x:c r="Z151" s="35" t="str">
        <x:v>依地理條件發展能源並評估影響</x:v>
      </x:c>
      <x:c r="AA151" s="35" t="str">
        <x:v>設禁漁期、尺寸限制並協助轉型</x:v>
      </x:c>
      <x:c r="AB151" s="35" t="str">
        <x:v>A</x:v>
      </x:c>
      <x:c r="AC151" s="35" t="str">
        <x:v>這是判斷「共識與程序」時要使用的依據。共識不是消除不同，而是在透明標準下找可接受方案並保留檢討空間。</x:v>
      </x:c>
      <x:c r="AD151" s="35" t="str">
        <x:v>這是「地理配對」的重點；本題要判斷的是「共識與程序」，兩者不能互相代替。</x:v>
      </x:c>
      <x:c r="AE151" s="35" t="str">
        <x:v>這項知識屬於「永續漁業」，無法支持本題的「共識與程序」判斷。</x:v>
      </x:c>
      <x:c r="AF151" s="35" t="str">
        <x:v>班級決策要記錄少數意見和檢討時間。</x:v>
      </x:c>
    </x:row>
    <x:row r="152" ht="76" customHeight="1">
      <x:c r="A152" s="35" t="str">
        <x:v>5B-U5</x:v>
      </x:c>
      <x:c r="B152" s="35" t="str">
        <x:v>五下</x:v>
      </x:c>
      <x:c r="C152" s="35" t="n">
        <x:v>5</x:v>
      </x:c>
      <x:c r="D152" s="35" t="str">
        <x:v>打造永續的家園</x:v>
      </x:c>
      <x:c r="E152" s="35" t="str">
        <x:v>5B-U5-O5</x:v>
      </x:c>
      <x:c r="F152" s="35" t="n">
        <x:v>13</x:v>
      </x:c>
      <x:c r="G152" s="35" t="str">
        <x:v>情境判斷</x:v>
      </x:c>
      <x:c r="H152" s="35" t="str">
        <x:v>學校想降低用電尖峰。哪個答案最合理？</x:v>
      </x:c>
      <x:c r="I152" s="35" t="str">
        <x:v>設基準與措施，四週後同指標比較</x:v>
      </x:c>
      <x:c r="J152" s="35" t="str">
        <x:v>貼一次海報就宣布成功</x:v>
      </x:c>
      <x:c r="K152" s="35" t="str">
        <x:v>沒有基準值便說節省很多</x:v>
      </x:c>
      <x:c r="L152" s="35" t="str">
        <x:v>相關各方應依資料協商文化與保育</x:v>
      </x:c>
      <x:c r="M152" s="35" t="str">
        <x:v>A</x:v>
      </x:c>
      <x:c r="N152" s="35" t="str">
        <x:v>設基準與措施，四週後同指標比較</x:v>
      </x:c>
      <x:c r="O152" s="35" t="str">
        <x:v>寫清楚改什麼、誰執行、何時再量。</x:v>
      </x:c>
      <x:c r="P152" s="35" t="str">
        <x:v>可評估行動需有基準、措施、時間和相同指標，才能判斷是否真的改善。</x:v>
      </x:c>
      <x:c r="Q152" s="35" t="str">
        <x:v>你的判讀可被查證：設基準與措施，四週後同指標比較。這正是行動評估要比較的核心。</x:v>
      </x:c>
      <x:c r="R152" s="35" t="str">
        <x:v>焦點放錯了。請回看：寫清楚改什麼、誰執行、何時再量。</x:v>
      </x:c>
      <x:c r="S152" s="35" t="str">
        <x:v>這項推論缺少證據。請確認：寫清楚改什麼、誰執行、何時再量。</x:v>
      </x:c>
      <x:c r="T152" s="35" t="str">
        <x:v>「相關各方應依資料協商文化與保育」是「權利權衡」的重點，但不能回答本題的「行動評估」。請回看：寫清楚改什麼、誰執行、何時再量。</x:v>
      </x:c>
      <x:c r="U152" s="35" t="str">
        <x:v>判斷正確</x:v>
      </x:c>
      <x:c r="V152" s="35" t="str">
        <x:v>忽略利害關係人</x:v>
      </x:c>
      <x:c r="W152" s="35" t="str">
        <x:v>把意見當證據</x:v>
      </x:c>
      <x:c r="X152" s="35" t="str">
        <x:v>位置錯置</x:v>
      </x:c>
      <x:c r="Y152" s="35" t="str">
        <x:v>寫清楚改什麼、誰執行、何時再量。</x:v>
      </x:c>
      <x:c r="Z152" s="35" t="str">
        <x:v>長期追蹤保存、參與、就業與環境</x:v>
      </x:c>
      <x:c r="AA152" s="35" t="str">
        <x:v>商品與港口帶動北部市鎮發展</x:v>
      </x:c>
      <x:c r="AB152" s="35" t="str">
        <x:v>A</x:v>
      </x:c>
      <x:c r="AC152" s="35" t="str">
        <x:v>這是判斷「行動評估」時要使用的依據。可評估行動需有基準、措施、時間和相同指標，才能判斷是否真的改善。</x:v>
      </x:c>
      <x:c r="AD152" s="35" t="str">
        <x:v>這是「地方轉型」的重點；本題要判斷的是「行動評估」，兩者不能互相代替。</x:v>
      </x:c>
      <x:c r="AE152" s="35" t="str">
        <x:v>這項知識屬於「經濟北移」，無法支持本題的「行動評估」判斷。</x:v>
      </x:c>
      <x:c r="AF152" s="35" t="str">
        <x:v>讓各班追蹤一項設備的用電變化。</x:v>
      </x:c>
    </x:row>
    <x:row r="153" ht="76" customHeight="1">
      <x:c r="A153" s="35" t="str">
        <x:v>5B-U5</x:v>
      </x:c>
      <x:c r="B153" s="35" t="str">
        <x:v>五下</x:v>
      </x:c>
      <x:c r="C153" s="35" t="n">
        <x:v>5</x:v>
      </x:c>
      <x:c r="D153" s="35" t="str">
        <x:v>打造永續的家園</x:v>
      </x:c>
      <x:c r="E153" s="35" t="str">
        <x:v>5B-U5-O5</x:v>
      </x:c>
      <x:c r="F153" s="35" t="n">
        <x:v>14</x:v>
      </x:c>
      <x:c r="G153" s="35" t="str">
        <x:v>證據判讀</x:v>
      </x:c>
      <x:c r="H153" s="35" t="str">
        <x:v>哪項資料最能支持「設基準與措施，四週後同指標比較」？</x:v>
      </x:c>
      <x:c r="I153" s="35" t="str">
        <x:v>和題目直接有關的資料</x:v>
      </x:c>
      <x:c r="J153" s="35" t="str">
        <x:v>比較具體貢獻、限制與在地回應</x:v>
      </x:c>
      <x:c r="K153" s="35" t="str">
        <x:v>外力暴露治理不足，促使政策改變</x:v>
      </x:c>
      <x:c r="L153" s="35" t="str">
        <x:v>海防受重視，建省與建設強化治理</x:v>
      </x:c>
      <x:c r="M153" s="35" t="str">
        <x:v>A</x:v>
      </x:c>
      <x:c r="N153" s="35" t="str">
        <x:v>和題目直接有關的資料</x:v>
      </x:c>
      <x:c r="O153" s="35" t="str">
        <x:v>寫清楚改什麼、誰執行、何時再量。</x:v>
      </x:c>
      <x:c r="P153" s="35" t="str">
        <x:v>這題檢查的是證據能否直接支持「先記錄分區時段用電，調整設備與習慣，四週後用同指標比較」，不是文字長短或票數。可評估行動需有基準、措施、時間和相同指標，才能判斷是否真的改善。</x:v>
      </x:c>
      <x:c r="Q153" s="35" t="str">
        <x:v>判斷精準。「和題目直接有關的資料」直接回應行動評估，推論沒有超過資料。</x:v>
      </x:c>
      <x:c r="R153" s="35" t="str">
        <x:v>「比較具體貢獻、限制與在地回應」是「人物與交流」的重點，但不能回答本題的「行動評估」。請回看：寫清楚改什麼、誰執行、何時再量。</x:v>
      </x:c>
      <x:c r="S153" s="35" t="str">
        <x:v>「外力暴露治理不足，促使政策改變」是「牡丹社事件」的重點，但不能回答本題的「行動評估」。請回看：寫清楚改什麼、誰執行、何時再量。</x:v>
      </x:c>
      <x:c r="T153" s="35" t="str">
        <x:v>「海防受重視，建省與建設強化治理」是「清法戰爭與建省」的重點，但不能回答本題的「行動評估」。請回看：寫清楚改什麼、誰執行、何時再量。</x:v>
      </x:c>
      <x:c r="U153" s="35" t="str">
        <x:v>判斷正確</x:v>
      </x:c>
      <x:c r="V153" s="35" t="str">
        <x:v>把意見當證據</x:v>
      </x:c>
      <x:c r="W153" s="35" t="str">
        <x:v>位置錯置</x:v>
      </x:c>
      <x:c r="X153" s="35" t="str">
        <x:v>忽略時空脈絡</x:v>
      </x:c>
      <x:c r="Y153" s="35" t="str">
        <x:v>寫清楚改什麼、誰執行、何時再量。</x:v>
      </x:c>
      <x:c r="Z153" s="35" t="str">
        <x:v>通商壓力、物產與航路共同促成開港</x:v>
      </x:c>
      <x:c r="AA153" s="35" t="str">
        <x:v>分族查資料，再比較文化異同</x:v>
      </x:c>
      <x:c r="AB153" s="35" t="str">
        <x:v>A</x:v>
      </x:c>
      <x:c r="AC153" s="35" t="str">
        <x:v>這是判斷「行動評估」時要使用的依據。可評估行動需有基準、措施、時間和相同指標，才能判斷是否真的改善。</x:v>
      </x:c>
      <x:c r="AD153" s="35" t="str">
        <x:v>這是「開港背景」的重點；本題要判斷的是「行動評估」，兩者不能互相代替。</x:v>
      </x:c>
      <x:c r="AE153" s="35" t="str">
        <x:v>這項知識屬於「文化多樣性」，無法支持本題的「行動評估」判斷。</x:v>
      </x:c>
      <x:c r="AF153" s="35" t="str">
        <x:v>讓各班追蹤一項設備的用電變化。</x:v>
      </x:c>
    </x:row>
    <x:row r="154" ht="76" customHeight="1">
      <x:c r="A154" s="35" t="str">
        <x:v>5B-U5</x:v>
      </x:c>
      <x:c r="B154" s="35" t="str">
        <x:v>五下</x:v>
      </x:c>
      <x:c r="C154" s="35" t="n">
        <x:v>5</x:v>
      </x:c>
      <x:c r="D154" s="35" t="str">
        <x:v>打造永續的家園</x:v>
      </x:c>
      <x:c r="E154" s="35" t="str">
        <x:v>5B-U5-O5</x:v>
      </x:c>
      <x:c r="F154" s="35" t="n">
        <x:v>15</x:v>
      </x:c>
      <x:c r="G154" s="35" t="str">
        <x:v>迷思修正</x:v>
      </x:c>
      <x:c r="H154" s="35" t="str">
        <x:v>有人說：「貼一次海報就宣布成功」哪個答案能改正這個說法？</x:v>
      </x:c>
      <x:c r="I154" s="35" t="str">
        <x:v>設基準與措施，四週後同指標比較</x:v>
      </x:c>
      <x:c r="J154" s="35" t="str">
        <x:v>保留植被並依坡度調整耕作</x:v>
      </x:c>
      <x:c r="K154" s="35" t="str">
        <x:v>比較供應、動物、傳染病與廢水管理</x:v>
      </x:c>
      <x:c r="L154" s="35" t="str">
        <x:v>設禁漁期、尺寸限制並協助轉型</x:v>
      </x:c>
      <x:c r="M154" s="35" t="str">
        <x:v>A</x:v>
      </x:c>
      <x:c r="N154" s="35" t="str">
        <x:v>設基準與措施，四週後同指標比較</x:v>
      </x:c>
      <x:c r="O154" s="35" t="str">
        <x:v>寫清楚改什麼、誰執行、何時再量。</x:v>
      </x:c>
      <x:c r="P154" s="35" t="str">
        <x:v>迷思「貼一次海報就宣布成功」的問題，是它沒有處理「學校想降低用電尖峰」提供的關鍵條件。可評估行動需有基準、措施、時間和相同指標，才能判斷是否真的改善。</x:v>
      </x:c>
      <x:c r="Q154" s="35" t="str">
        <x:v>這項選擇成立：設基準與措施，四週後同指標比較。它抓住行動評估的關鍵條件。</x:v>
      </x:c>
      <x:c r="R154" s="35" t="str">
        <x:v>「保留植被並依坡度調整耕作」是「永續農業」的重點，但不能回答本題的「行動評估」。請回看：寫清楚改什麼、誰執行、何時再量。</x:v>
      </x:c>
      <x:c r="S154" s="35" t="str">
        <x:v>「比較供應、動物、傳染病與廢水管理」是「畜牧權衡」的重點，但不能回答本題的「行動評估」。請回看：寫清楚改什麼、誰執行、何時再量。</x:v>
      </x:c>
      <x:c r="T154" s="35" t="str">
        <x:v>「設禁漁期、尺寸限制並協助轉型」是「永續漁業」的重點，但不能回答本題的「行動評估」。請回看：寫清楚改什麼、誰執行、何時再量。</x:v>
      </x:c>
      <x:c r="U154" s="35" t="str">
        <x:v>判斷正確</x:v>
      </x:c>
      <x:c r="V154" s="35" t="str">
        <x:v>位置錯置</x:v>
      </x:c>
      <x:c r="W154" s="35" t="str">
        <x:v>忽略時空脈絡</x:v>
      </x:c>
      <x:c r="X154" s="35" t="str">
        <x:v>過度概括</x:v>
      </x:c>
      <x:c r="Y154" s="35" t="str">
        <x:v>寫清楚改什麼、誰執行、何時再量。</x:v>
      </x:c>
      <x:c r="Z154" s="35" t="str">
        <x:v>設計耐用可修產品並回收再製</x:v>
      </x:c>
      <x:c r="AA154" s="35" t="str">
        <x:v>貿易增加，也改變土地與族群關係</x:v>
      </x:c>
      <x:c r="AB154" s="35" t="str">
        <x:v>A</x:v>
      </x:c>
      <x:c r="AC154" s="35" t="str">
        <x:v>這是判斷「行動評估」時要使用的依據。可評估行動需有基準、措施、時間和相同指標，才能判斷是否真的改善。</x:v>
      </x:c>
      <x:c r="AD154" s="35" t="str">
        <x:v>這是「循環經濟」的重點；本題要判斷的是「行動評估」，兩者不能互相代替。</x:v>
      </x:c>
      <x:c r="AE154" s="35" t="str">
        <x:v>這項知識屬於「貿易影響」，無法支持本題的「行動評估」判斷。</x:v>
      </x:c>
      <x:c r="AF154" s="35" t="str">
        <x:v>讓各班追蹤一項設備的用電變化。</x:v>
      </x:c>
    </x:row>
  </x:sheetData>
  <x:mergeCells>
    <x:mergeCell ref="A1:AF1"/>
    <x:mergeCell ref="A2:AF2"/>
  </x:mergeCells>
  <x:pageMargins left="0.7" right="0.7" top="0.75" bottom="0.75" header="0.3" footer="0.3"/>
</x:worksheet>
</file>